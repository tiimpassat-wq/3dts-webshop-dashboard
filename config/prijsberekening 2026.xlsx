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jpe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b9bce078121837/Bureaublad/"/>
    </mc:Choice>
  </mc:AlternateContent>
  <xr:revisionPtr revIDLastSave="1120" documentId="8_{F4BD764C-2DB1-4907-A4A1-B427CD8693D2}" xr6:coauthVersionLast="47" xr6:coauthVersionMax="47" xr10:uidLastSave="{8634A147-D17F-4734-9396-7CEE0CA69343}"/>
  <bookViews>
    <workbookView xWindow="-108" yWindow="-108" windowWidth="23256" windowHeight="13896" xr2:uid="{16B42221-2351-4446-86F7-A8467A95DE09}"/>
  </bookViews>
  <sheets>
    <sheet name="Price Calculator" sheetId="9" r:id="rId1"/>
    <sheet name="Input" sheetId="4" r:id="rId2"/>
    <sheet name="Printers" sheetId="3" r:id="rId3"/>
    <sheet name="Materials" sheetId="2" r:id="rId4"/>
    <sheet name="Fees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9" l="1"/>
  <c r="R15" i="9"/>
  <c r="P15" i="9"/>
  <c r="D10" i="9"/>
  <c r="E40" i="9" s="1"/>
  <c r="D48" i="9"/>
  <c r="D42" i="9"/>
  <c r="D41" i="9"/>
  <c r="D40" i="9"/>
  <c r="E29" i="9"/>
  <c r="E28" i="9"/>
  <c r="E27" i="9"/>
  <c r="E26" i="9"/>
  <c r="D47" i="9"/>
  <c r="D46" i="9"/>
  <c r="D26" i="9"/>
  <c r="S31" i="9"/>
  <c r="S30" i="9"/>
  <c r="J76" i="9"/>
  <c r="I74" i="9"/>
  <c r="I69" i="9"/>
  <c r="I64" i="9"/>
  <c r="I59" i="9"/>
  <c r="I57" i="9"/>
  <c r="I56" i="9"/>
  <c r="E25" i="9"/>
  <c r="G34" i="2"/>
  <c r="G35" i="2"/>
  <c r="G36" i="2"/>
  <c r="G37" i="2"/>
  <c r="G38" i="2"/>
  <c r="G39" i="2"/>
  <c r="G4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10" i="2"/>
  <c r="K33" i="9"/>
  <c r="L33" i="9"/>
  <c r="D15" i="4"/>
  <c r="D10" i="4"/>
  <c r="D11" i="4"/>
  <c r="J72" i="9"/>
  <c r="M72" i="9" s="1"/>
  <c r="J10" i="14"/>
  <c r="J62" i="9" s="1"/>
  <c r="L62" i="9" s="1"/>
  <c r="J11" i="14"/>
  <c r="J12" i="14"/>
  <c r="J67" i="9" s="1"/>
  <c r="M67" i="9" s="1"/>
  <c r="J13" i="14"/>
  <c r="J14" i="14"/>
  <c r="J15" i="14"/>
  <c r="J16" i="14"/>
  <c r="J17" i="14"/>
  <c r="J18" i="14"/>
  <c r="J19" i="14"/>
  <c r="J20" i="14"/>
  <c r="J77" i="9" s="1"/>
  <c r="Q77" i="9" s="1"/>
  <c r="J21" i="14"/>
  <c r="J22" i="14"/>
  <c r="J23" i="14"/>
  <c r="J24" i="14"/>
  <c r="J25" i="14"/>
  <c r="J26" i="14"/>
  <c r="J27" i="14"/>
  <c r="I11" i="14"/>
  <c r="I12" i="14"/>
  <c r="J66" i="9" s="1"/>
  <c r="I13" i="14"/>
  <c r="J71" i="9" s="1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10" i="14"/>
  <c r="J61" i="9" s="1"/>
  <c r="R27" i="9"/>
  <c r="L32" i="9"/>
  <c r="E58" i="9"/>
  <c r="K32" i="9" s="1"/>
  <c r="F58" i="9"/>
  <c r="F56" i="9"/>
  <c r="G26" i="9"/>
  <c r="R16" i="9"/>
  <c r="R17" i="9"/>
  <c r="R18" i="9"/>
  <c r="R19" i="9"/>
  <c r="R20" i="9"/>
  <c r="P16" i="9"/>
  <c r="P17" i="9"/>
  <c r="P18" i="9"/>
  <c r="P19" i="9"/>
  <c r="P20" i="9"/>
  <c r="E46" i="9" l="1"/>
  <c r="E48" i="9"/>
  <c r="E47" i="9"/>
  <c r="E41" i="9"/>
  <c r="E42" i="9"/>
  <c r="L77" i="9"/>
  <c r="M77" i="9"/>
  <c r="K77" i="9"/>
  <c r="N77" i="9"/>
  <c r="O77" i="9"/>
  <c r="K62" i="9"/>
  <c r="Q72" i="9"/>
  <c r="N72" i="9"/>
  <c r="O72" i="9"/>
  <c r="K72" i="9"/>
  <c r="L72" i="9"/>
  <c r="N67" i="9"/>
  <c r="O67" i="9"/>
  <c r="Q67" i="9"/>
  <c r="L67" i="9"/>
  <c r="K67" i="9"/>
  <c r="Q62" i="9"/>
  <c r="O62" i="9"/>
  <c r="N62" i="9"/>
  <c r="M62" i="9"/>
  <c r="N16" i="9"/>
  <c r="N17" i="9"/>
  <c r="N18" i="9"/>
  <c r="N19" i="9"/>
  <c r="N20" i="9"/>
  <c r="H40" i="2" l="1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10" i="3"/>
  <c r="E49" i="9"/>
  <c r="K31" i="9" s="1"/>
  <c r="H27" i="3"/>
  <c r="H26" i="3"/>
  <c r="H25" i="3"/>
  <c r="H24" i="3"/>
  <c r="H23" i="3"/>
  <c r="H22" i="3"/>
  <c r="H20" i="3"/>
  <c r="H19" i="3"/>
  <c r="H18" i="3"/>
  <c r="H17" i="3"/>
  <c r="H16" i="3"/>
  <c r="H15" i="3"/>
  <c r="H14" i="3"/>
  <c r="H21" i="3"/>
  <c r="H11" i="3"/>
  <c r="H12" i="3"/>
  <c r="H13" i="3"/>
  <c r="H10" i="3"/>
  <c r="S29" i="9"/>
  <c r="E43" i="9"/>
  <c r="K30" i="9" s="1"/>
  <c r="S28" i="9"/>
  <c r="S26" i="9"/>
  <c r="L35" i="9"/>
  <c r="L34" i="9"/>
  <c r="L27" i="9"/>
  <c r="L28" i="9"/>
  <c r="L29" i="9"/>
  <c r="L30" i="9"/>
  <c r="L31" i="9"/>
  <c r="L26" i="9"/>
  <c r="G34" i="9"/>
  <c r="F27" i="9"/>
  <c r="F28" i="9"/>
  <c r="F29" i="9"/>
  <c r="F30" i="9"/>
  <c r="F31" i="9"/>
  <c r="F32" i="9"/>
  <c r="F26" i="9"/>
  <c r="G27" i="9"/>
  <c r="G28" i="9"/>
  <c r="G29" i="9"/>
  <c r="G30" i="9"/>
  <c r="G31" i="9"/>
  <c r="G32" i="9"/>
  <c r="S21" i="9"/>
  <c r="Q21" i="9"/>
  <c r="O21" i="9"/>
  <c r="Q16" i="9"/>
  <c r="Q17" i="9"/>
  <c r="Q18" i="9"/>
  <c r="Q19" i="9"/>
  <c r="Q20" i="9"/>
  <c r="Q15" i="9"/>
  <c r="S16" i="9"/>
  <c r="S17" i="9"/>
  <c r="S18" i="9"/>
  <c r="S19" i="9"/>
  <c r="S20" i="9"/>
  <c r="S15" i="9"/>
  <c r="O16" i="9"/>
  <c r="O17" i="9"/>
  <c r="O18" i="9"/>
  <c r="O19" i="9"/>
  <c r="O20" i="9"/>
  <c r="O15" i="9"/>
  <c r="V37" i="9" l="1"/>
  <c r="F34" i="9"/>
  <c r="K29" i="9" l="1"/>
  <c r="R21" i="9" l="1"/>
  <c r="N21" i="9" l="1"/>
  <c r="K26" i="9" s="1"/>
  <c r="K28" i="9"/>
  <c r="P21" i="9" l="1"/>
  <c r="K27" i="9" s="1"/>
  <c r="K34" i="9" s="1"/>
  <c r="K35" i="9" s="1"/>
  <c r="X71" i="9" l="1"/>
  <c r="W71" i="9"/>
  <c r="V71" i="9"/>
  <c r="X73" i="9"/>
  <c r="X72" i="9"/>
  <c r="W73" i="9"/>
  <c r="W72" i="9"/>
  <c r="V73" i="9"/>
  <c r="Y73" i="9" s="1"/>
  <c r="V72" i="9"/>
  <c r="Y72" i="9" s="1"/>
  <c r="V51" i="9"/>
  <c r="V50" i="9"/>
  <c r="V52" i="9"/>
  <c r="V54" i="9"/>
  <c r="V28" i="9"/>
  <c r="O57" i="9"/>
  <c r="Q57" i="9"/>
  <c r="L57" i="9"/>
  <c r="M57" i="9"/>
  <c r="N57" i="9"/>
  <c r="K57" i="9"/>
  <c r="R26" i="9"/>
  <c r="R28" i="9" l="1"/>
  <c r="R29" i="9" s="1"/>
  <c r="R30" i="9" l="1"/>
  <c r="R31" i="9" s="1"/>
  <c r="K56" i="9"/>
  <c r="Q56" i="9" s="1"/>
  <c r="Q76" i="9" s="1"/>
  <c r="Q78" i="9" s="1"/>
  <c r="Q79" i="9" s="1"/>
  <c r="V26" i="9"/>
  <c r="K61" i="9" l="1"/>
  <c r="K63" i="9" s="1"/>
  <c r="K64" i="9" s="1"/>
  <c r="K76" i="9"/>
  <c r="K78" i="9" s="1"/>
  <c r="K79" i="9" s="1"/>
  <c r="K66" i="9"/>
  <c r="K68" i="9" s="1"/>
  <c r="K69" i="9" s="1"/>
  <c r="M56" i="9"/>
  <c r="K59" i="9"/>
  <c r="V30" i="9" s="1"/>
  <c r="L56" i="9"/>
  <c r="N56" i="9"/>
  <c r="O56" i="9"/>
  <c r="O76" i="9" s="1"/>
  <c r="O78" i="9" s="1"/>
  <c r="O79" i="9" s="1"/>
  <c r="Q71" i="9"/>
  <c r="Q73" i="9" s="1"/>
  <c r="Q74" i="9" s="1"/>
  <c r="Q66" i="9"/>
  <c r="Q68" i="9" s="1"/>
  <c r="Q69" i="9" s="1"/>
  <c r="Q61" i="9"/>
  <c r="Q63" i="9" s="1"/>
  <c r="Q64" i="9" s="1"/>
  <c r="K71" i="9"/>
  <c r="K73" i="9" s="1"/>
  <c r="K74" i="9" s="1"/>
  <c r="Q58" i="9"/>
  <c r="Q59" i="9" s="1"/>
  <c r="N66" i="9" l="1"/>
  <c r="N68" i="9" s="1"/>
  <c r="N69" i="9" s="1"/>
  <c r="N76" i="9"/>
  <c r="N78" i="9" s="1"/>
  <c r="N79" i="9" s="1"/>
  <c r="L71" i="9"/>
  <c r="L73" i="9" s="1"/>
  <c r="L74" i="9" s="1"/>
  <c r="L76" i="9"/>
  <c r="L78" i="9" s="1"/>
  <c r="L79" i="9" s="1"/>
  <c r="M58" i="9"/>
  <c r="M59" i="9" s="1"/>
  <c r="M76" i="9"/>
  <c r="M78" i="9" s="1"/>
  <c r="M79" i="9" s="1"/>
  <c r="M66" i="9"/>
  <c r="M68" i="9" s="1"/>
  <c r="M69" i="9" s="1"/>
  <c r="L61" i="9"/>
  <c r="L63" i="9" s="1"/>
  <c r="L64" i="9" s="1"/>
  <c r="N61" i="9"/>
  <c r="N63" i="9" s="1"/>
  <c r="N64" i="9" s="1"/>
  <c r="M71" i="9"/>
  <c r="M73" i="9" s="1"/>
  <c r="M74" i="9" s="1"/>
  <c r="M61" i="9"/>
  <c r="M63" i="9" s="1"/>
  <c r="M64" i="9" s="1"/>
  <c r="N71" i="9"/>
  <c r="N73" i="9" s="1"/>
  <c r="N74" i="9" s="1"/>
  <c r="N58" i="9"/>
  <c r="N59" i="9" s="1"/>
  <c r="L58" i="9"/>
  <c r="L59" i="9" s="1"/>
  <c r="L66" i="9"/>
  <c r="L68" i="9" s="1"/>
  <c r="L69" i="9" s="1"/>
  <c r="O61" i="9"/>
  <c r="O63" i="9" s="1"/>
  <c r="O64" i="9" s="1"/>
  <c r="O71" i="9"/>
  <c r="O73" i="9" s="1"/>
  <c r="O74" i="9" s="1"/>
  <c r="O58" i="9"/>
  <c r="O59" i="9" s="1"/>
  <c r="O66" i="9"/>
  <c r="O68" i="9" s="1"/>
  <c r="O6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 Schipper</author>
  </authors>
  <commentList>
    <comment ref="D7" authorId="0" shapeId="0" xr:uid="{35BA92B5-7B27-4676-8734-B26445AC512F}">
      <text>
        <r>
          <rPr>
            <b/>
            <sz val="9"/>
            <color indexed="81"/>
            <rFont val="Tahoma"/>
            <charset val="1"/>
          </rPr>
          <t>Tim Schipper:</t>
        </r>
        <r>
          <rPr>
            <sz val="9"/>
            <color indexed="81"/>
            <rFont val="Tahoma"/>
            <charset val="1"/>
          </rPr>
          <t xml:space="preserve">
Type 'Klein' of 'Groot' om automatisch verpakking, voorbereiding en nabewerking te wisselen.
Klein: doosje+label €0,50, voorbereiding 1 min, nabewerking 1 min
Groot: standaard verpakking €0,85, voorbereiding 3 min, nabewerking 1,5 min</t>
        </r>
      </text>
    </comment>
    <comment ref="D10" authorId="0" shapeId="0" xr:uid="{2235877B-1014-4F73-AC20-2B26988BA899}">
      <text>
        <r>
          <rPr>
            <b/>
            <sz val="9"/>
            <color indexed="81"/>
            <rFont val="Tahoma"/>
            <charset val="1"/>
          </rPr>
          <t>Tim Schipper:</t>
        </r>
        <r>
          <rPr>
            <sz val="9"/>
            <color indexed="81"/>
            <rFont val="Tahoma"/>
            <charset val="1"/>
          </rPr>
          <t xml:space="preserve">
Type 'Klein' of 'Groot' om automatisch verpakking, voorbereiding en nabewerking te wisselen.
Klein: doosje+label €0,50, voorbereiding 1 min, nabewerking 1 min
Groot: standaard verpakking €0,85, voorbereiding 3 min, nabewerking 1,5 min</t>
        </r>
      </text>
    </comment>
    <comment ref="F11" authorId="0" shapeId="0" xr:uid="{C839467F-00A4-4783-A280-F142439B92CC}">
      <text>
        <r>
          <rPr>
            <b/>
            <sz val="9"/>
            <color indexed="81"/>
            <rFont val="Tahoma"/>
            <charset val="1"/>
          </rPr>
          <t>Tim Schipper:</t>
        </r>
        <r>
          <rPr>
            <sz val="9"/>
            <color indexed="81"/>
            <rFont val="Tahoma"/>
            <charset val="1"/>
          </rPr>
          <t xml:space="preserve">
Type 'Klein' of 'Groot' om automatisch verpakking, voorbereiding en nabewerking te wisselen.
Klein: doosje+label €0,50, voorbereiding 1 min, nabewerking 1 min
Groot: standaard verpakking €0,85, voorbereiding 3 min, nabewerking 1,5 min</t>
        </r>
      </text>
    </comment>
    <comment ref="F12" authorId="0" shapeId="0" xr:uid="{A129D753-9F49-4293-B331-3794A702AB85}">
      <text>
        <r>
          <rPr>
            <b/>
            <sz val="9"/>
            <color indexed="81"/>
            <rFont val="Tahoma"/>
            <charset val="1"/>
          </rPr>
          <t>Tim Schipper:</t>
        </r>
        <r>
          <rPr>
            <sz val="9"/>
            <color indexed="81"/>
            <rFont val="Tahoma"/>
            <charset val="1"/>
          </rPr>
          <t xml:space="preserve">
Type 'Single' voor losse prints, of 'Farmloop' om per 10 te rekenen.
Single: 1 stuk per print (volledige plaattijd/gram aan 1 stuk toegerekend)
Farmloop: 10 stuks per plaat (kosten verdeeld over 10)</t>
        </r>
      </text>
    </comment>
    <comment ref="I75" authorId="0" shapeId="0" xr:uid="{1A960FE2-BB49-4A7A-A1B1-6BDF6410B780}">
      <text>
        <r>
          <rPr>
            <b/>
            <sz val="9"/>
            <color indexed="81"/>
            <rFont val="Tahoma"/>
            <charset val="1"/>
          </rPr>
          <t>Tim Schipper:</t>
        </r>
        <r>
          <rPr>
            <sz val="9"/>
            <color indexed="81"/>
            <rFont val="Tahoma"/>
            <charset val="1"/>
          </rPr>
          <t xml:space="preserve">
Dit blok toont winst/verlies ALS je op Bol dezelfde prijs zou vragen als op Shopify (cel R29). Voor je werkelijke Bol-prijs: zie de tabel rechts (V52/V53) — die berekent automatisch de juiste prijs voor je doelwinst.</t>
        </r>
      </text>
    </comment>
  </commentList>
</comments>
</file>

<file path=xl/sharedStrings.xml><?xml version="1.0" encoding="utf-8"?>
<sst xmlns="http://schemas.openxmlformats.org/spreadsheetml/2006/main" count="236" uniqueCount="174">
  <si>
    <t>min</t>
  </si>
  <si>
    <t>Filament</t>
  </si>
  <si>
    <t>Printer</t>
  </si>
  <si>
    <t>%</t>
  </si>
  <si>
    <t>Item</t>
  </si>
  <si>
    <t>MIN</t>
  </si>
  <si>
    <t>Bambu Lab X1-Carbon</t>
  </si>
  <si>
    <t>Filament (g)</t>
  </si>
  <si>
    <t>Type</t>
  </si>
  <si>
    <t>PLA</t>
  </si>
  <si>
    <t>PETG</t>
  </si>
  <si>
    <t>Printers</t>
  </si>
  <si>
    <t>Bambu Lab P1P</t>
  </si>
  <si>
    <t>Bambu Lab A1</t>
  </si>
  <si>
    <t>Bambu Lab A1 mini</t>
  </si>
  <si>
    <t>Prusa MK4S</t>
  </si>
  <si>
    <t>Prusa Mini+</t>
  </si>
  <si>
    <t>Bambu Lab X1-Carbon Combo</t>
  </si>
  <si>
    <t>Bambu Lab P1S Combo</t>
  </si>
  <si>
    <t xml:space="preserve">Bambu Lab P1S </t>
  </si>
  <si>
    <t>Bambu Lab A1 Combo</t>
  </si>
  <si>
    <t>Bambu Lab A1 mini Combo</t>
  </si>
  <si>
    <t>Prusament PLA</t>
  </si>
  <si>
    <t>eSUN PLA+</t>
  </si>
  <si>
    <t>Hatchbox PLA</t>
  </si>
  <si>
    <t>Prusament PETG</t>
  </si>
  <si>
    <t>eSUN PETG</t>
  </si>
  <si>
    <t>Overture PETG</t>
  </si>
  <si>
    <t>Polymaker Polylite PETG</t>
  </si>
  <si>
    <t>Polymaker Polyterra PLA</t>
  </si>
  <si>
    <t>Polymaker Polylite PLA</t>
  </si>
  <si>
    <t>Bambu Lab Basic PLA</t>
  </si>
  <si>
    <t>SUNLU PLA</t>
  </si>
  <si>
    <t>PETG-CF</t>
  </si>
  <si>
    <t>Dowell PETG-CF</t>
  </si>
  <si>
    <t>Label</t>
  </si>
  <si>
    <t>Sticker</t>
  </si>
  <si>
    <t>Platform</t>
  </si>
  <si>
    <t>Shopify Basic</t>
  </si>
  <si>
    <t xml:space="preserve">Etsy </t>
  </si>
  <si>
    <t>Etsy Offside Ads 15%</t>
  </si>
  <si>
    <t>Etsy Offside Ads 12%</t>
  </si>
  <si>
    <t>Shopify Shopify</t>
  </si>
  <si>
    <t>eBay Basic</t>
  </si>
  <si>
    <t>eBay Starter</t>
  </si>
  <si>
    <t>eBay Premium</t>
  </si>
  <si>
    <t>Amazon FBM Individual</t>
  </si>
  <si>
    <t>Amazon FBM Pro</t>
  </si>
  <si>
    <t>C0001</t>
  </si>
  <si>
    <t>¬</t>
  </si>
  <si>
    <t>Ultieme Prijscalculator - Pro V2.0</t>
  </si>
  <si>
    <t>SKU-code #</t>
  </si>
  <si>
    <t>Productnaam</t>
  </si>
  <si>
    <t>Houder</t>
  </si>
  <si>
    <t>Datum gewijzigd</t>
  </si>
  <si>
    <t>Onderdelen per serie</t>
  </si>
  <si>
    <t>Printkosten</t>
  </si>
  <si>
    <t xml:space="preserve"> Onderdeel #</t>
  </si>
  <si>
    <t>Aantal</t>
  </si>
  <si>
    <t>UUR</t>
  </si>
  <si>
    <t>Filamentkosten</t>
  </si>
  <si>
    <t>Printerafschrijving</t>
  </si>
  <si>
    <t>Elektriciteitskosten</t>
  </si>
  <si>
    <t>Lade</t>
  </si>
  <si>
    <t>Totaal</t>
  </si>
  <si>
    <t>Verbruiksartikelen en Verpakking</t>
  </si>
  <si>
    <t>Kosten</t>
  </si>
  <si>
    <t>Offerte</t>
  </si>
  <si>
    <t>Marge %</t>
  </si>
  <si>
    <t>Omschrijving</t>
  </si>
  <si>
    <t>Totale kosten</t>
  </si>
  <si>
    <t>Waarde</t>
  </si>
  <si>
    <t>Doos</t>
  </si>
  <si>
    <t>Totale productiekosten</t>
  </si>
  <si>
    <t>Verkoopprijs</t>
  </si>
  <si>
    <t>Vulmateriaal</t>
  </si>
  <si>
    <t>Marge</t>
  </si>
  <si>
    <t>Elektriciteit</t>
  </si>
  <si>
    <t>Margebedrag</t>
  </si>
  <si>
    <t>Productiekosten</t>
  </si>
  <si>
    <t>Totale prijs</t>
  </si>
  <si>
    <t>Voorbereiding</t>
  </si>
  <si>
    <t>Winst</t>
  </si>
  <si>
    <t>Nabewerking</t>
  </si>
  <si>
    <t>Verzending en Afhandeling</t>
  </si>
  <si>
    <t>Abonnementen</t>
  </si>
  <si>
    <t>Subtotalen</t>
  </si>
  <si>
    <t>Inclusief mislukkingen</t>
  </si>
  <si>
    <t>Arbeid</t>
  </si>
  <si>
    <t>Arbeidstijd</t>
  </si>
  <si>
    <t>Totale tijd</t>
  </si>
  <si>
    <t>Tijd</t>
  </si>
  <si>
    <t>Modelvoorbereiding</t>
  </si>
  <si>
    <t>Slicen</t>
  </si>
  <si>
    <t>Overdracht &amp; Start</t>
  </si>
  <si>
    <t>Som</t>
  </si>
  <si>
    <t>Verwijderen van print</t>
  </si>
  <si>
    <t>Supports verwijderen</t>
  </si>
  <si>
    <t>Aanvullend werk</t>
  </si>
  <si>
    <t>Verzending</t>
  </si>
  <si>
    <t>Winst-/Kostenberekening</t>
  </si>
  <si>
    <t>Zonder kosten</t>
  </si>
  <si>
    <t>Verzendkosten (bij gratis verzending)</t>
  </si>
  <si>
    <t>Verwerkingstijd</t>
  </si>
  <si>
    <t>Kortingsbedrag</t>
  </si>
  <si>
    <t>Procentuele kosten</t>
  </si>
  <si>
    <t>Vaste kosten</t>
  </si>
  <si>
    <t>Invoer</t>
  </si>
  <si>
    <t>Eenheid</t>
  </si>
  <si>
    <t>Energiekosten</t>
  </si>
  <si>
    <t>Arbeidskosten</t>
  </si>
  <si>
    <t>Mislukkingspercentage</t>
  </si>
  <si>
    <t>Valuta-eenheid</t>
  </si>
  <si>
    <t>Bestellingen per maand</t>
  </si>
  <si>
    <t>Valuta</t>
  </si>
  <si>
    <t>Bestellingen</t>
  </si>
  <si>
    <t>Printernaam</t>
  </si>
  <si>
    <t>Prijs</t>
  </si>
  <si>
    <t>Servicekosten over levensduur</t>
  </si>
  <si>
    <t>Afschrijvingsduur 
(Printeruren)</t>
  </si>
  <si>
    <t>Kosten per uur</t>
  </si>
  <si>
    <t>Watt voor printen per uur (W)</t>
  </si>
  <si>
    <t>Materialen</t>
  </si>
  <si>
    <t>Spoelprijs</t>
  </si>
  <si>
    <t>Spoelgrootte (KG)</t>
  </si>
  <si>
    <t>Kosten per KG</t>
  </si>
  <si>
    <t>Maandelijks</t>
  </si>
  <si>
    <t>Transactie</t>
  </si>
  <si>
    <t>Betaling</t>
  </si>
  <si>
    <t>Betaling vast</t>
  </si>
  <si>
    <t>Plaatsingskosten</t>
  </si>
  <si>
    <t>Offside-advertentie</t>
  </si>
  <si>
    <t>Totale procentuele kosten</t>
  </si>
  <si>
    <t>Totale vaste kosten</t>
  </si>
  <si>
    <t>PETG HF</t>
  </si>
  <si>
    <t>Bambu Lab PETG HF</t>
  </si>
  <si>
    <t>€</t>
  </si>
  <si>
    <t>Bol.com</t>
  </si>
  <si>
    <t>Doel winst</t>
  </si>
  <si>
    <t>Etsy</t>
  </si>
  <si>
    <t>Bambu Lab P2S Combo</t>
  </si>
  <si>
    <t>BTW-tarief</t>
  </si>
  <si>
    <t>Aanbevolen prijs (incl. BTW)</t>
  </si>
  <si>
    <t>BTW (21%)</t>
  </si>
  <si>
    <t>Verkoopprijs incl. BTW</t>
  </si>
  <si>
    <t>Klein</t>
  </si>
  <si>
    <t>TEST12</t>
  </si>
  <si>
    <t>Formaat:</t>
  </si>
  <si>
    <t>Bol – Brievenbus</t>
  </si>
  <si>
    <t>Bol – Pakket</t>
  </si>
  <si>
    <t>Staffelprijzen (dynamisch o.b.v. K35)</t>
  </si>
  <si>
    <t>Aannames</t>
  </si>
  <si>
    <t>Bol.com (incl. verz.)</t>
  </si>
  <si>
    <t>Etsy (incl. verz.)</t>
  </si>
  <si>
    <t>Shopify (excl. verz.)</t>
  </si>
  <si>
    <t>Kost/stuk</t>
  </si>
  <si>
    <t>Hoe het werkt:</t>
  </si>
  <si>
    <t>• Past zich automatisch aan op K35 (productiekost per plaat)</t>
  </si>
  <si>
    <t>• Bol/Etsy = incl. verzending; Shopify = excl. verzending</t>
  </si>
  <si>
    <t>• Korting per stuk: 5-pack 15%, 10-pack 25%</t>
  </si>
  <si>
    <t>• Gele cellen aanpasbaar: verzendkost (W69), aantal per plaat (Y69)</t>
  </si>
  <si>
    <t>Min. prijs</t>
  </si>
  <si>
    <t>Doelwinst totaal</t>
  </si>
  <si>
    <t>Doelwinst per pakket:</t>
  </si>
  <si>
    <t>1 stuk:</t>
  </si>
  <si>
    <t>5 stuks:</t>
  </si>
  <si>
    <t>10 stuks:</t>
  </si>
  <si>
    <t>Print modus:</t>
  </si>
  <si>
    <t>Farmloop instellingen (alleen actief als modus = Farmloop):</t>
  </si>
  <si>
    <t>Stuks per plaat</t>
  </si>
  <si>
    <t>Plaat-totaal gram</t>
  </si>
  <si>
    <t>Plaat-totaal uren</t>
  </si>
  <si>
    <t>Plaat-totaal min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</si>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</sst>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%"/>
    <numFmt numFmtId="166" formatCode="\€0.00"/>
    <numFmt numFmtId="167" formatCode="\€#,##0.00"/>
    <numFmt numFmtId="168" formatCode="\€#,##0.00&quot; /st&quot;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EAEAEA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rgb="FFEAEAEA"/>
      <name val="Century Gothic"/>
      <family val="2"/>
    </font>
    <font>
      <b/>
      <sz val="22"/>
      <color rgb="FF386080"/>
      <name val="Century Gothic"/>
      <family val="2"/>
    </font>
    <font>
      <sz val="12"/>
      <color theme="1"/>
      <name val="Century Gothic"/>
      <family val="2"/>
    </font>
    <font>
      <b/>
      <sz val="11"/>
      <color rgb="FFEAEAEA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22"/>
      <name val="Century Gothic"/>
      <family val="2"/>
    </font>
    <font>
      <b/>
      <sz val="12"/>
      <color theme="9" tint="-0.499984740745262"/>
      <name val="Century Gothic"/>
      <family val="2"/>
    </font>
    <font>
      <b/>
      <sz val="14"/>
      <color theme="9" tint="-0.499984740745262"/>
      <name val="Century Gothic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EAEAEA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sz val="11"/>
      <color rgb="FF0000FF"/>
      <name val="Century Gothic"/>
    </font>
    <font>
      <b/>
      <sz val="11"/>
      <color rgb="FF375623"/>
      <name val="Century Gothic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375623"/>
      <name val="Century Gothic"/>
    </font>
    <font>
      <b/>
      <sz val="12"/>
      <color rgb="FF000000"/>
      <name val="Calibri"/>
      <scheme val="minor"/>
    </font>
    <font>
      <b/>
      <sz val="12"/>
      <color rgb="FF0000FF"/>
      <name val="Century Gothic"/>
    </font>
    <font>
      <sz val="10"/>
      <color theme="1"/>
      <name val="Century Gothic"/>
    </font>
    <font>
      <b/>
      <sz val="10"/>
      <color theme="1"/>
      <name val="Century Gothic"/>
    </font>
    <font>
      <b/>
      <i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8A3B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2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62D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B7E4FF"/>
        <bgColor indexed="64"/>
      </patternFill>
    </fill>
    <fill>
      <patternFill patternType="solid">
        <fgColor rgb="FF79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D9D9"/>
        <bgColor indexed="64"/>
      </patternFill>
    </fill>
  </fills>
  <borders count="42">
    <border>
      <left/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rgb="FFFF8A3B"/>
      </top>
      <bottom style="thin">
        <color rgb="FFFF8A3B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rgb="FFFF8A3B"/>
      </top>
      <bottom style="thin">
        <color theme="3" tint="0.79998168889431442"/>
      </bottom>
      <diagonal/>
    </border>
    <border>
      <left/>
      <right/>
      <top style="thin">
        <color rgb="FFFF8A3B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rgb="FFFF8A3B"/>
      </top>
      <bottom style="thin">
        <color theme="3" tint="0.79998168889431442"/>
      </bottom>
      <diagonal/>
    </border>
    <border>
      <left/>
      <right/>
      <top/>
      <bottom style="thin">
        <color rgb="FFFF8A3B"/>
      </bottom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/>
      <right/>
      <top style="thin">
        <color rgb="FFFF8A3B"/>
      </top>
      <bottom/>
      <diagonal/>
    </border>
    <border>
      <left style="thin">
        <color rgb="FFFF8A3B"/>
      </left>
      <right style="thin">
        <color rgb="FFFF8A3B"/>
      </right>
      <top style="thin">
        <color rgb="FFFF8A3B"/>
      </top>
      <bottom/>
      <diagonal/>
    </border>
    <border>
      <left style="thin">
        <color rgb="FFFF8A3B"/>
      </left>
      <right style="thin">
        <color rgb="FFFF8A3B"/>
      </right>
      <top/>
      <bottom style="thin">
        <color rgb="FFFF8A3B"/>
      </bottom>
      <diagonal/>
    </border>
    <border>
      <left style="thin">
        <color rgb="FFFF8A3B"/>
      </left>
      <right/>
      <top style="thin">
        <color rgb="FFFF8A3B"/>
      </top>
      <bottom/>
      <diagonal/>
    </border>
    <border>
      <left/>
      <right style="thin">
        <color rgb="FFFF8A3B"/>
      </right>
      <top style="thin">
        <color rgb="FFFF8A3B"/>
      </top>
      <bottom/>
      <diagonal/>
    </border>
    <border>
      <left style="thin">
        <color rgb="FFFF8A3B"/>
      </left>
      <right/>
      <top/>
      <bottom style="thin">
        <color rgb="FFFF8A3B"/>
      </bottom>
      <diagonal/>
    </border>
    <border>
      <left/>
      <right style="thin">
        <color rgb="FFFF8A3B"/>
      </right>
      <top/>
      <bottom style="thin">
        <color rgb="FFFF8A3B"/>
      </bottom>
      <diagonal/>
    </border>
    <border>
      <left/>
      <right style="thin">
        <color theme="3" tint="0.79998168889431442"/>
      </right>
      <top/>
      <bottom style="thin">
        <color theme="3" tint="0.79998168889431442"/>
      </bottom>
      <diagonal/>
    </border>
    <border>
      <left/>
      <right style="thin">
        <color rgb="FFFF8A3B"/>
      </right>
      <top/>
      <bottom/>
      <diagonal/>
    </border>
    <border>
      <left style="thin">
        <color rgb="FFD4E1EC"/>
      </left>
      <right style="thin">
        <color rgb="FFD4E1EC"/>
      </right>
      <top style="thin">
        <color rgb="FFD4E1EC"/>
      </top>
      <bottom style="thin">
        <color rgb="FFD4E1E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rgb="FFD4E1EC"/>
      </bottom>
      <diagonal/>
    </border>
    <border>
      <left/>
      <right/>
      <top/>
      <bottom style="double">
        <color indexed="64"/>
      </bottom>
      <diagonal/>
    </border>
    <border>
      <left style="thin">
        <color rgb="FFD4E1EC"/>
      </left>
      <right/>
      <top style="thin">
        <color rgb="FFD4E1EC"/>
      </top>
      <bottom style="thin">
        <color rgb="FFD4E1EC"/>
      </bottom>
      <diagonal/>
    </border>
    <border>
      <left/>
      <right/>
      <top style="double">
        <color indexed="64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/>
      <right/>
      <top style="thin">
        <color theme="3" tint="0.79998168889431442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/>
      <bottom/>
      <diagonal/>
    </border>
    <border>
      <left style="thin">
        <color theme="3" tint="0.79998168889431442"/>
      </left>
      <right/>
      <top style="thin">
        <color indexed="64"/>
      </top>
      <bottom style="thin">
        <color theme="3" tint="0.79998168889431442"/>
      </bottom>
      <diagonal/>
    </border>
    <border>
      <left/>
      <right/>
      <top style="thin">
        <color indexed="64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/>
      <right/>
      <top style="thin">
        <color indexed="64"/>
      </top>
      <bottom/>
      <diagonal/>
    </border>
    <border>
      <left style="thin">
        <color theme="3" tint="0.79998168889431442"/>
      </left>
      <right style="thin">
        <color theme="3" tint="0.79998168889431442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4E1EC"/>
      </left>
      <right/>
      <top style="thin">
        <color rgb="FFD4E1EC"/>
      </top>
      <bottom style="thin">
        <color indexed="64"/>
      </bottom>
      <diagonal/>
    </border>
    <border>
      <left/>
      <right style="thin">
        <color rgb="FFD4E1EC"/>
      </right>
      <top style="thin">
        <color rgb="FFD4E1EC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/>
    <xf numFmtId="0" fontId="0" fillId="8" borderId="0" xfId="0" applyFill="1"/>
    <xf numFmtId="0" fontId="3" fillId="3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2" fontId="3" fillId="8" borderId="0" xfId="1" applyNumberFormat="1" applyFont="1" applyFill="1" applyBorder="1" applyAlignment="1">
      <alignment horizontal="center" vertical="center"/>
    </xf>
    <xf numFmtId="2" fontId="3" fillId="8" borderId="0" xfId="1" applyNumberFormat="1" applyFont="1" applyFill="1" applyBorder="1" applyAlignment="1">
      <alignment horizontal="right" vertical="center"/>
    </xf>
    <xf numFmtId="0" fontId="3" fillId="8" borderId="0" xfId="1" applyNumberFormat="1" applyFont="1" applyFill="1" applyBorder="1" applyAlignment="1">
      <alignment horizontal="left" vertical="top"/>
    </xf>
    <xf numFmtId="0" fontId="3" fillId="8" borderId="0" xfId="1" applyNumberFormat="1" applyFont="1" applyFill="1" applyBorder="1" applyAlignment="1">
      <alignment horizontal="left" vertical="center"/>
    </xf>
    <xf numFmtId="2" fontId="3" fillId="8" borderId="0" xfId="1" applyNumberFormat="1" applyFont="1" applyFill="1" applyBorder="1" applyAlignment="1">
      <alignment horizontal="left" vertical="center"/>
    </xf>
    <xf numFmtId="1" fontId="3" fillId="8" borderId="0" xfId="1" applyNumberFormat="1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left" vertical="center"/>
    </xf>
    <xf numFmtId="2" fontId="3" fillId="2" borderId="0" xfId="0" applyNumberFormat="1" applyFont="1" applyFill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top"/>
    </xf>
    <xf numFmtId="1" fontId="9" fillId="16" borderId="0" xfId="0" applyNumberFormat="1" applyFont="1" applyFill="1" applyAlignment="1">
      <alignment horizontal="center" vertical="center"/>
    </xf>
    <xf numFmtId="2" fontId="13" fillId="5" borderId="0" xfId="1" applyNumberFormat="1" applyFont="1" applyFill="1" applyBorder="1" applyAlignment="1">
      <alignment horizontal="center" vertical="center"/>
    </xf>
    <xf numFmtId="2" fontId="14" fillId="5" borderId="0" xfId="1" applyNumberFormat="1" applyFont="1" applyFill="1" applyBorder="1" applyAlignment="1">
      <alignment horizontal="right" vertical="center"/>
    </xf>
    <xf numFmtId="0" fontId="14" fillId="5" borderId="0" xfId="1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0" fillId="15" borderId="0" xfId="0" applyFont="1" applyFill="1" applyAlignment="1">
      <alignment horizontal="center" vertical="center"/>
    </xf>
    <xf numFmtId="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0" borderId="21" xfId="0" applyFont="1" applyBorder="1" applyProtection="1">
      <protection locked="0"/>
    </xf>
    <xf numFmtId="1" fontId="3" fillId="0" borderId="21" xfId="1" applyNumberFormat="1" applyFont="1" applyFill="1" applyBorder="1" applyAlignment="1" applyProtection="1">
      <alignment vertical="center"/>
      <protection locked="0"/>
    </xf>
    <xf numFmtId="1" fontId="3" fillId="0" borderId="21" xfId="0" applyNumberFormat="1" applyFont="1" applyBorder="1" applyAlignment="1" applyProtection="1">
      <alignment vertical="center"/>
      <protection locked="0"/>
    </xf>
    <xf numFmtId="0" fontId="0" fillId="2" borderId="0" xfId="0" applyFill="1"/>
    <xf numFmtId="0" fontId="3" fillId="2" borderId="21" xfId="0" applyFont="1" applyFill="1" applyBorder="1" applyProtection="1">
      <protection locked="0"/>
    </xf>
    <xf numFmtId="0" fontId="3" fillId="2" borderId="21" xfId="0" applyFont="1" applyFill="1" applyBorder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/>
    <xf numFmtId="0" fontId="9" fillId="10" borderId="22" xfId="0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3" fillId="0" borderId="28" xfId="0" applyFont="1" applyBorder="1" applyAlignment="1" applyProtection="1">
      <alignment horizontal="center" vertical="center"/>
      <protection locked="0"/>
    </xf>
    <xf numFmtId="2" fontId="3" fillId="0" borderId="28" xfId="0" applyNumberFormat="1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2" fontId="14" fillId="5" borderId="27" xfId="1" applyNumberFormat="1" applyFont="1" applyFill="1" applyBorder="1" applyAlignment="1">
      <alignment horizontal="right" vertical="center"/>
    </xf>
    <xf numFmtId="0" fontId="14" fillId="5" borderId="27" xfId="1" applyNumberFormat="1" applyFont="1" applyFill="1" applyBorder="1" applyAlignment="1">
      <alignment horizontal="left" vertical="center"/>
    </xf>
    <xf numFmtId="2" fontId="14" fillId="5" borderId="36" xfId="1" applyNumberFormat="1" applyFont="1" applyFill="1" applyBorder="1" applyAlignment="1">
      <alignment horizontal="right" vertical="center"/>
    </xf>
    <xf numFmtId="0" fontId="14" fillId="5" borderId="36" xfId="1" applyNumberFormat="1" applyFont="1" applyFill="1" applyBorder="1" applyAlignment="1">
      <alignment horizontal="left" vertical="center"/>
    </xf>
    <xf numFmtId="0" fontId="3" fillId="8" borderId="29" xfId="0" applyFont="1" applyFill="1" applyBorder="1" applyAlignment="1">
      <alignment horizontal="left" vertical="center"/>
    </xf>
    <xf numFmtId="0" fontId="14" fillId="6" borderId="27" xfId="1" applyNumberFormat="1" applyFont="1" applyFill="1" applyBorder="1" applyAlignment="1">
      <alignment horizontal="left" vertical="center"/>
    </xf>
    <xf numFmtId="2" fontId="14" fillId="5" borderId="38" xfId="1" applyNumberFormat="1" applyFont="1" applyFill="1" applyBorder="1" applyAlignment="1">
      <alignment horizontal="right" vertical="center"/>
    </xf>
    <xf numFmtId="0" fontId="14" fillId="5" borderId="38" xfId="1" applyNumberFormat="1" applyFont="1" applyFill="1" applyBorder="1" applyAlignment="1">
      <alignment horizontal="left" vertical="center"/>
    </xf>
    <xf numFmtId="2" fontId="13" fillId="5" borderId="36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" fontId="3" fillId="0" borderId="28" xfId="0" applyNumberFormat="1" applyFont="1" applyBorder="1" applyAlignment="1" applyProtection="1">
      <alignment horizontal="center" vertical="center"/>
      <protection locked="0"/>
    </xf>
    <xf numFmtId="0" fontId="3" fillId="17" borderId="21" xfId="0" applyFont="1" applyFill="1" applyBorder="1"/>
    <xf numFmtId="0" fontId="5" fillId="7" borderId="0" xfId="0" applyFont="1" applyFill="1" applyAlignment="1">
      <alignment horizontal="center" vertical="center"/>
    </xf>
    <xf numFmtId="4" fontId="3" fillId="0" borderId="21" xfId="1" applyNumberFormat="1" applyFont="1" applyBorder="1" applyProtection="1">
      <protection locked="0"/>
    </xf>
    <xf numFmtId="4" fontId="3" fillId="8" borderId="0" xfId="1" applyNumberFormat="1" applyFont="1" applyFill="1" applyBorder="1" applyAlignment="1" applyProtection="1">
      <alignment horizontal="right" vertical="center"/>
    </xf>
    <xf numFmtId="0" fontId="0" fillId="2" borderId="0" xfId="0" applyFill="1" applyAlignment="1">
      <alignment horizontal="center"/>
    </xf>
    <xf numFmtId="164" fontId="3" fillId="0" borderId="21" xfId="1" applyFont="1" applyBorder="1" applyAlignment="1" applyProtection="1">
      <alignment horizontal="center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164" fontId="3" fillId="8" borderId="0" xfId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2" fontId="3" fillId="0" borderId="21" xfId="1" applyNumberFormat="1" applyFont="1" applyFill="1" applyBorder="1" applyProtection="1">
      <protection locked="0"/>
    </xf>
    <xf numFmtId="2" fontId="3" fillId="0" borderId="21" xfId="0" applyNumberFormat="1" applyFont="1" applyBorder="1" applyProtection="1">
      <protection locked="0"/>
    </xf>
    <xf numFmtId="0" fontId="6" fillId="2" borderId="0" xfId="0" applyFont="1" applyFill="1" applyAlignment="1">
      <alignment horizontal="center"/>
    </xf>
    <xf numFmtId="4" fontId="3" fillId="8" borderId="0" xfId="1" applyNumberFormat="1" applyFont="1" applyFill="1" applyBorder="1" applyAlignment="1" applyProtection="1">
      <alignment horizontal="center" vertical="center"/>
    </xf>
    <xf numFmtId="0" fontId="4" fillId="0" borderId="39" xfId="0" applyFont="1" applyBorder="1" applyAlignment="1">
      <alignment horizontal="left"/>
    </xf>
    <xf numFmtId="0" fontId="10" fillId="4" borderId="36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21" xfId="0" applyFont="1" applyBorder="1" applyAlignment="1">
      <alignment horizontal="left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top"/>
      <protection locked="0"/>
    </xf>
    <xf numFmtId="0" fontId="3" fillId="0" borderId="3" xfId="0" applyFont="1" applyBorder="1" applyAlignment="1" applyProtection="1">
      <alignment horizontal="right" vertical="center"/>
      <protection locked="0"/>
    </xf>
    <xf numFmtId="0" fontId="14" fillId="6" borderId="27" xfId="1" applyNumberFormat="1" applyFont="1" applyFill="1" applyBorder="1" applyAlignment="1">
      <alignment horizontal="right" vertical="center"/>
    </xf>
    <xf numFmtId="0" fontId="3" fillId="0" borderId="37" xfId="0" applyFont="1" applyBorder="1" applyAlignment="1" applyProtection="1">
      <alignment horizontal="right" vertical="center"/>
      <protection locked="0"/>
    </xf>
    <xf numFmtId="0" fontId="4" fillId="3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0" borderId="29" xfId="0" applyFont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3" fillId="8" borderId="0" xfId="0" applyFont="1" applyFill="1"/>
    <xf numFmtId="165" fontId="3" fillId="0" borderId="21" xfId="2" applyNumberFormat="1" applyFont="1" applyBorder="1" applyProtection="1">
      <protection locked="0"/>
    </xf>
    <xf numFmtId="2" fontId="3" fillId="0" borderId="21" xfId="1" applyNumberFormat="1" applyFont="1" applyFill="1" applyBorder="1" applyAlignment="1" applyProtection="1">
      <alignment vertical="center"/>
      <protection locked="0"/>
    </xf>
    <xf numFmtId="1" fontId="3" fillId="0" borderId="25" xfId="1" applyNumberFormat="1" applyFont="1" applyFill="1" applyBorder="1" applyAlignment="1" applyProtection="1">
      <alignment vertical="center"/>
      <protection locked="0"/>
    </xf>
    <xf numFmtId="2" fontId="3" fillId="0" borderId="25" xfId="1" applyNumberFormat="1" applyFont="1" applyFill="1" applyBorder="1" applyAlignment="1" applyProtection="1">
      <alignment vertical="center"/>
      <protection locked="0"/>
    </xf>
    <xf numFmtId="9" fontId="3" fillId="0" borderId="25" xfId="2" applyFont="1" applyFill="1" applyBorder="1" applyAlignment="1" applyProtection="1">
      <alignment vertical="center"/>
      <protection locked="0"/>
    </xf>
    <xf numFmtId="0" fontId="3" fillId="0" borderId="25" xfId="0" applyFont="1" applyBorder="1" applyProtection="1">
      <protection locked="0"/>
    </xf>
    <xf numFmtId="0" fontId="3" fillId="3" borderId="12" xfId="0" applyFont="1" applyFill="1" applyBorder="1" applyAlignment="1">
      <alignment horizontal="center" vertical="center" wrapText="1"/>
    </xf>
    <xf numFmtId="165" fontId="3" fillId="18" borderId="0" xfId="2" applyNumberFormat="1" applyFont="1" applyFill="1" applyBorder="1" applyAlignment="1" applyProtection="1">
      <alignment vertical="center"/>
    </xf>
    <xf numFmtId="2" fontId="3" fillId="18" borderId="0" xfId="1" applyNumberFormat="1" applyFont="1" applyFill="1" applyBorder="1" applyAlignment="1" applyProtection="1">
      <alignment vertical="center"/>
    </xf>
    <xf numFmtId="2" fontId="4" fillId="8" borderId="0" xfId="1" applyNumberFormat="1" applyFont="1" applyFill="1" applyBorder="1" applyAlignment="1">
      <alignment horizontal="center" vertical="center"/>
    </xf>
    <xf numFmtId="0" fontId="4" fillId="0" borderId="0" xfId="0" applyFont="1"/>
    <xf numFmtId="2" fontId="3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left" vertical="center"/>
    </xf>
    <xf numFmtId="165" fontId="4" fillId="0" borderId="0" xfId="2" applyNumberFormat="1" applyFont="1" applyBorder="1" applyAlignment="1"/>
    <xf numFmtId="0" fontId="4" fillId="0" borderId="40" xfId="0" applyFont="1" applyBorder="1" applyAlignment="1">
      <alignment horizontal="left"/>
    </xf>
    <xf numFmtId="2" fontId="3" fillId="8" borderId="36" xfId="0" applyNumberFormat="1" applyFont="1" applyFill="1" applyBorder="1" applyAlignment="1">
      <alignment horizontal="center" vertical="center"/>
    </xf>
    <xf numFmtId="2" fontId="4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17" fillId="19" borderId="0" xfId="0" applyFont="1" applyFill="1" applyAlignment="1">
      <alignment horizontal="center"/>
    </xf>
    <xf numFmtId="0" fontId="0" fillId="19" borderId="0" xfId="0" applyFill="1"/>
    <xf numFmtId="0" fontId="19" fillId="0" borderId="0" xfId="0" applyFont="1"/>
    <xf numFmtId="0" fontId="19" fillId="3" borderId="0" xfId="0" applyFont="1" applyFill="1"/>
    <xf numFmtId="166" fontId="20" fillId="20" borderId="0" xfId="0" applyNumberFormat="1" applyFont="1" applyFill="1" applyAlignment="1">
      <alignment horizontal="right"/>
    </xf>
    <xf numFmtId="166" fontId="21" fillId="6" borderId="0" xfId="0" applyNumberFormat="1" applyFont="1" applyFill="1" applyAlignment="1">
      <alignment horizontal="right"/>
    </xf>
    <xf numFmtId="0" fontId="18" fillId="2" borderId="0" xfId="0" applyFont="1" applyFill="1" applyProtection="1">
      <protection locked="0"/>
    </xf>
    <xf numFmtId="9" fontId="18" fillId="2" borderId="0" xfId="0" applyNumberFormat="1" applyFont="1" applyFill="1" applyAlignment="1" applyProtection="1">
      <alignment horizontal="right"/>
      <protection locked="0"/>
    </xf>
    <xf numFmtId="0" fontId="18" fillId="21" borderId="0" xfId="0" applyFont="1" applyFill="1" applyProtection="1">
      <protection locked="0"/>
    </xf>
    <xf numFmtId="0" fontId="18" fillId="22" borderId="0" xfId="0" applyFont="1" applyFill="1"/>
    <xf numFmtId="0" fontId="18" fillId="22" borderId="0" xfId="0" applyFont="1" applyFill="1" applyAlignment="1">
      <alignment horizontal="left"/>
    </xf>
    <xf numFmtId="0" fontId="0" fillId="22" borderId="0" xfId="0" applyFill="1"/>
    <xf numFmtId="2" fontId="18" fillId="22" borderId="0" xfId="0" applyNumberFormat="1" applyFont="1" applyFill="1" applyAlignment="1">
      <alignment horizontal="right"/>
    </xf>
    <xf numFmtId="0" fontId="24" fillId="6" borderId="0" xfId="0" applyFont="1" applyFill="1"/>
    <xf numFmtId="0" fontId="24" fillId="6" borderId="0" xfId="0" applyFont="1" applyFill="1" applyAlignment="1">
      <alignment horizontal="left"/>
    </xf>
    <xf numFmtId="0" fontId="0" fillId="6" borderId="0" xfId="0" applyFill="1"/>
    <xf numFmtId="2" fontId="24" fillId="6" borderId="0" xfId="0" applyNumberFormat="1" applyFont="1" applyFill="1" applyAlignment="1">
      <alignment horizontal="right"/>
    </xf>
    <xf numFmtId="0" fontId="26" fillId="20" borderId="0" xfId="0" applyFont="1" applyFill="1" applyAlignment="1">
      <alignment horizontal="center"/>
    </xf>
    <xf numFmtId="0" fontId="19" fillId="0" borderId="0" xfId="0" applyFont="1" applyAlignment="1">
      <alignment horizontal="right"/>
    </xf>
    <xf numFmtId="0" fontId="19" fillId="3" borderId="0" xfId="0" applyFont="1" applyFill="1" applyAlignment="1">
      <alignment horizontal="center"/>
    </xf>
    <xf numFmtId="167" fontId="18" fillId="0" borderId="0" xfId="0" applyNumberFormat="1" applyFont="1" applyAlignment="1">
      <alignment horizontal="center"/>
    </xf>
    <xf numFmtId="168" fontId="18" fillId="6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0" xfId="0" applyFont="1"/>
    <xf numFmtId="167" fontId="27" fillId="20" borderId="0" xfId="0" applyNumberFormat="1" applyFont="1" applyFill="1"/>
    <xf numFmtId="0" fontId="27" fillId="20" borderId="0" xfId="0" applyFont="1" applyFill="1" applyAlignment="1">
      <alignment horizontal="center"/>
    </xf>
    <xf numFmtId="167" fontId="18" fillId="22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167" fontId="27" fillId="20" borderId="0" xfId="0" applyNumberFormat="1" applyFont="1" applyFill="1" applyAlignment="1">
      <alignment horizontal="center"/>
    </xf>
    <xf numFmtId="0" fontId="11" fillId="0" borderId="0" xfId="0" applyFont="1" applyAlignment="1">
      <alignment horizontal="right"/>
    </xf>
    <xf numFmtId="0" fontId="11" fillId="20" borderId="0" xfId="0" applyFont="1" applyFill="1" applyAlignment="1">
      <alignment horizontal="center"/>
    </xf>
    <xf numFmtId="0" fontId="29" fillId="0" borderId="0" xfId="0" applyFont="1"/>
    <xf numFmtId="0" fontId="0" fillId="20" borderId="0" xfId="0" applyFill="1" applyAlignment="1">
      <alignment horizontal="center"/>
    </xf>
    <xf numFmtId="0" fontId="10" fillId="20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0" fontId="4" fillId="0" borderId="36" xfId="0" applyFont="1" applyBorder="1" applyAlignment="1">
      <alignment horizontal="left"/>
    </xf>
    <xf numFmtId="2" fontId="3" fillId="8" borderId="36" xfId="0" applyNumberFormat="1" applyFont="1" applyFill="1" applyBorder="1" applyAlignment="1">
      <alignment horizontal="center" vertical="center"/>
    </xf>
    <xf numFmtId="2" fontId="13" fillId="5" borderId="0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8" borderId="0" xfId="1" applyNumberFormat="1" applyFont="1" applyFill="1" applyBorder="1" applyAlignment="1">
      <alignment horizontal="center" vertical="center"/>
    </xf>
    <xf numFmtId="2" fontId="13" fillId="5" borderId="36" xfId="1" applyNumberFormat="1" applyFont="1" applyFill="1" applyBorder="1" applyAlignment="1">
      <alignment horizontal="center" vertical="center"/>
    </xf>
    <xf numFmtId="2" fontId="4" fillId="8" borderId="0" xfId="1" applyNumberFormat="1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left" vertical="center"/>
    </xf>
    <xf numFmtId="0" fontId="9" fillId="4" borderId="34" xfId="0" applyFont="1" applyFill="1" applyBorder="1" applyAlignment="1">
      <alignment horizontal="left" vertical="center"/>
    </xf>
    <xf numFmtId="0" fontId="9" fillId="4" borderId="35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5" fillId="7" borderId="10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9" fontId="4" fillId="3" borderId="0" xfId="0" applyNumberFormat="1" applyFont="1" applyFill="1" applyAlignment="1">
      <alignment horizontal="center" vertical="center"/>
    </xf>
    <xf numFmtId="2" fontId="9" fillId="12" borderId="0" xfId="0" applyNumberFormat="1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4" borderId="24" xfId="0" applyFont="1" applyFill="1" applyBorder="1" applyAlignment="1">
      <alignment horizontal="center" vertical="center"/>
    </xf>
    <xf numFmtId="2" fontId="9" fillId="13" borderId="0" xfId="0" applyNumberFormat="1" applyFont="1" applyFill="1" applyAlignment="1">
      <alignment horizontal="center" vertical="center"/>
    </xf>
    <xf numFmtId="2" fontId="9" fillId="13" borderId="24" xfId="0" applyNumberFormat="1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2" fontId="9" fillId="11" borderId="26" xfId="0" applyNumberFormat="1" applyFont="1" applyFill="1" applyBorder="1" applyAlignment="1">
      <alignment horizontal="center" vertical="center"/>
    </xf>
    <xf numFmtId="2" fontId="9" fillId="11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2" fontId="3" fillId="8" borderId="0" xfId="0" applyNumberFormat="1" applyFont="1" applyFill="1" applyAlignment="1">
      <alignment horizontal="left" vertical="center"/>
    </xf>
    <xf numFmtId="2" fontId="9" fillId="4" borderId="36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0" fillId="9" borderId="0" xfId="0" applyFont="1" applyFill="1" applyAlignment="1">
      <alignment horizontal="center" vertical="center"/>
    </xf>
    <xf numFmtId="15" fontId="7" fillId="2" borderId="15" xfId="0" applyNumberFormat="1" applyFont="1" applyFill="1" applyBorder="1" applyAlignment="1" applyProtection="1">
      <alignment horizontal="center" vertical="center"/>
      <protection locked="0"/>
    </xf>
    <xf numFmtId="15" fontId="7" fillId="2" borderId="12" xfId="0" applyNumberFormat="1" applyFont="1" applyFill="1" applyBorder="1" applyAlignment="1" applyProtection="1">
      <alignment horizontal="center" vertical="center"/>
      <protection locked="0"/>
    </xf>
    <xf numFmtId="15" fontId="7" fillId="2" borderId="16" xfId="0" applyNumberFormat="1" applyFont="1" applyFill="1" applyBorder="1" applyAlignment="1" applyProtection="1">
      <alignment horizontal="center" vertical="center"/>
      <protection locked="0"/>
    </xf>
    <xf numFmtId="15" fontId="7" fillId="2" borderId="17" xfId="0" applyNumberFormat="1" applyFont="1" applyFill="1" applyBorder="1" applyAlignment="1" applyProtection="1">
      <alignment horizontal="center" vertical="center"/>
      <protection locked="0"/>
    </xf>
    <xf numFmtId="15" fontId="7" fillId="2" borderId="10" xfId="0" applyNumberFormat="1" applyFont="1" applyFill="1" applyBorder="1" applyAlignment="1" applyProtection="1">
      <alignment horizontal="center" vertical="center"/>
      <protection locked="0"/>
    </xf>
    <xf numFmtId="15" fontId="7" fillId="2" borderId="18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>
      <alignment horizontal="center" vertical="center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3" fillId="0" borderId="9" xfId="0" applyFont="1" applyBorder="1" applyAlignment="1" applyProtection="1">
      <alignment horizontal="left"/>
      <protection locked="0"/>
    </xf>
    <xf numFmtId="0" fontId="3" fillId="8" borderId="41" xfId="0" applyFont="1" applyFill="1" applyBorder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0" fontId="26" fillId="20" borderId="14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31" xfId="0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9" fillId="4" borderId="38" xfId="0" applyFont="1" applyFill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left"/>
    </xf>
    <xf numFmtId="0" fontId="3" fillId="3" borderId="23" xfId="0" applyFont="1" applyFill="1" applyBorder="1" applyAlignment="1">
      <alignment horizontal="center" vertical="center" wrapText="1"/>
    </xf>
  </cellXfs>
  <cellStyles count="3">
    <cellStyle name="Procent" xfId="2" builtinId="5"/>
    <cellStyle name="Standaard" xfId="0" builtinId="0"/>
    <cellStyle name="Valuta" xfId="1" builtin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9CCFF"/>
      <color rgb="FFB7E4FF"/>
      <color rgb="FFFFBD5B"/>
      <color rgb="FFFFDAA3"/>
      <color rgb="FFDFC9EF"/>
      <color rgb="FFCBA9E5"/>
      <color rgb="FFA365D1"/>
      <color rgb="FFD3B5E9"/>
      <color rgb="FFA2BED6"/>
      <color rgb="FF8FB1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de-CH" sz="1600">
                <a:latin typeface="Century Gothic" panose="020B0502020202020204" pitchFamily="34" charset="0"/>
              </a:rPr>
              <a:t>Cost Breakdown</a:t>
            </a:r>
          </a:p>
        </c:rich>
      </c:tx>
      <c:layout>
        <c:manualLayout>
          <c:xMode val="edge"/>
          <c:yMode val="edge"/>
          <c:x val="0.62170413076105735"/>
          <c:y val="9.7917246203123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1758382019872691E-2"/>
          <c:y val="0.10518758673834662"/>
          <c:w val="0.33870086966063429"/>
          <c:h val="0.8167178763706993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E4-4FFF-AA90-DEA20D3EDF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E4-4FFF-AA90-DEA20D3EDF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E4-4FFF-AA90-DEA20D3EDF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E4-4FFF-AA90-DEA20D3EDF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E4-4FFF-AA90-DEA20D3EDF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8E4-4FFF-AA90-DEA20D3EDF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326-412C-A41F-8050172AD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'Price Calculator'!$I$26:$J$32</c:f>
              <c:strCache>
                <c:ptCount val="7"/>
                <c:pt idx="0">
                  <c:v>Filament</c:v>
                </c:pt>
                <c:pt idx="1">
                  <c:v>Printerafschrijving</c:v>
                </c:pt>
                <c:pt idx="2">
                  <c:v>Elektriciteit</c:v>
                </c:pt>
                <c:pt idx="3">
                  <c:v>Verbruiksartikelen en Verpakking</c:v>
                </c:pt>
                <c:pt idx="4">
                  <c:v>Voorbereiding</c:v>
                </c:pt>
                <c:pt idx="5">
                  <c:v>Nabewerking</c:v>
                </c:pt>
                <c:pt idx="6">
                  <c:v>Verzending en Afhandeling</c:v>
                </c:pt>
              </c:strCache>
            </c:strRef>
          </c:cat>
          <c:val>
            <c:numRef>
              <c:f>'Price Calculator'!$J$26:$J$32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13-42D2-4619-A8FC-4CF8F89244A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2D2-4619-A8FC-4CF8F89244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2D2-4619-A8FC-4CF8F89244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42D2-4619-A8FC-4CF8F89244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2D2-4619-A8FC-4CF8F89244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2D2-4619-A8FC-4CF8F89244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2D2-4619-A8FC-4CF8F89244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3734-403A-ADBC-ADD433EC5C7B}"/>
              </c:ext>
            </c:extLst>
          </c:dPt>
          <c:dLbls>
            <c:dLbl>
              <c:idx val="0"/>
              <c:layout>
                <c:manualLayout>
                  <c:x val="1.843869699613879E-2"/>
                  <c:y val="-0.14545530082312674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D2-4619-A8FC-4CF8F89244AB}"/>
                </c:ext>
              </c:extLst>
            </c:dLbl>
            <c:dLbl>
              <c:idx val="1"/>
              <c:layout>
                <c:manualLayout>
                  <c:x val="9.9524949818341604E-2"/>
                  <c:y val="-0.11881358489142839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D2-4619-A8FC-4CF8F89244AB}"/>
                </c:ext>
              </c:extLst>
            </c:dLbl>
            <c:dLbl>
              <c:idx val="2"/>
              <c:layout>
                <c:manualLayout>
                  <c:x val="0.14651443522280144"/>
                  <c:y val="8.8073030105884111E-3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2D2-4619-A8FC-4CF8F89244AB}"/>
                </c:ext>
              </c:extLst>
            </c:dLbl>
            <c:dLbl>
              <c:idx val="3"/>
              <c:layout>
                <c:manualLayout>
                  <c:x val="0.16547831823657735"/>
                  <c:y val="0.16901957283210289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39088960345695"/>
                      <c:h val="0.172817617332617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9-42D2-4619-A8FC-4CF8F89244AB}"/>
                </c:ext>
              </c:extLst>
            </c:dLbl>
            <c:dLbl>
              <c:idx val="4"/>
              <c:layout>
                <c:manualLayout>
                  <c:x val="8.7969879885387681E-2"/>
                  <c:y val="0.1875120805400767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D2-4619-A8FC-4CF8F89244AB}"/>
                </c:ext>
              </c:extLst>
            </c:dLbl>
            <c:dLbl>
              <c:idx val="5"/>
              <c:layout>
                <c:manualLayout>
                  <c:x val="4.5694849327943966E-2"/>
                  <c:y val="8.289902318520824E-2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D2-4619-A8FC-4CF8F89244AB}"/>
                </c:ext>
              </c:extLst>
            </c:dLbl>
            <c:dLbl>
              <c:idx val="6"/>
              <c:layout>
                <c:manualLayout>
                  <c:x val="-2.4829641410856397E-2"/>
                  <c:y val="-6.8602924920878249E-17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734-403A-ADBC-ADD433EC5C7B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75000"/>
                      <a:lumOff val="25000"/>
                    </a:schemeClr>
                  </a:solidFill>
                  <a:round/>
                  <a:headEnd type="oval"/>
                  <a:tailEnd type="none"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'Price Calculator'!$I$26:$J$32</c:f>
              <c:strCache>
                <c:ptCount val="7"/>
                <c:pt idx="0">
                  <c:v>Filament</c:v>
                </c:pt>
                <c:pt idx="1">
                  <c:v>Printerafschrijving</c:v>
                </c:pt>
                <c:pt idx="2">
                  <c:v>Elektriciteit</c:v>
                </c:pt>
                <c:pt idx="3">
                  <c:v>Verbruiksartikelen en Verpakking</c:v>
                </c:pt>
                <c:pt idx="4">
                  <c:v>Voorbereiding</c:v>
                </c:pt>
                <c:pt idx="5">
                  <c:v>Nabewerking</c:v>
                </c:pt>
                <c:pt idx="6">
                  <c:v>Verzending en Afhandeling</c:v>
                </c:pt>
              </c:strCache>
            </c:strRef>
          </c:cat>
          <c:val>
            <c:numRef>
              <c:f>'Price Calculator'!$K$26:$K$32</c:f>
              <c:numCache>
                <c:formatCode>0.00</c:formatCode>
                <c:ptCount val="7"/>
                <c:pt idx="0">
                  <c:v>1.2</c:v>
                </c:pt>
                <c:pt idx="1">
                  <c:v>0.56000000000000005</c:v>
                </c:pt>
                <c:pt idx="2">
                  <c:v>0.13</c:v>
                </c:pt>
                <c:pt idx="3">
                  <c:v>0.5</c:v>
                </c:pt>
                <c:pt idx="4">
                  <c:v>0.33</c:v>
                </c:pt>
                <c:pt idx="5">
                  <c:v>0.33</c:v>
                </c:pt>
                <c:pt idx="6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2D2-4619-A8FC-4CF8F89244A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53134755327786"/>
          <c:y val="0.25592977590982857"/>
          <c:w val="0.32847596423242992"/>
          <c:h val="0.5953676969925373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noFill/>
      <a:round/>
    </a:ln>
    <a:effectLst/>
  </c:spPr>
  <c:txPr>
    <a:bodyPr/>
    <a:lstStyle/>
    <a:p>
      <a:pPr>
        <a:defRPr sz="1000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15353</xdr:colOff>
      <xdr:row>35</xdr:row>
      <xdr:rowOff>178996</xdr:rowOff>
    </xdr:from>
    <xdr:to>
      <xdr:col>19</xdr:col>
      <xdr:colOff>0</xdr:colOff>
      <xdr:row>51</xdr:row>
      <xdr:rowOff>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6CF8BE-2A3C-E55D-C6F5-368B721AB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57150</xdr:colOff>
      <xdr:row>0</xdr:row>
      <xdr:rowOff>95249</xdr:rowOff>
    </xdr:from>
    <xdr:to>
      <xdr:col>2</xdr:col>
      <xdr:colOff>446315</xdr:colOff>
      <xdr:row>5</xdr:row>
      <xdr:rowOff>108857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E3390B5B-49BD-8EE8-FBDC-9C3A66AF0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5249"/>
          <a:ext cx="1194708" cy="971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</xdr:rowOff>
    </xdr:from>
    <xdr:to>
      <xdr:col>2</xdr:col>
      <xdr:colOff>630037</xdr:colOff>
      <xdr:row>5</xdr:row>
      <xdr:rowOff>23794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00592-2575-4D99-A362-AABD7E479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00025"/>
          <a:ext cx="2255002" cy="778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2218172</xdr:colOff>
      <xdr:row>5</xdr:row>
      <xdr:rowOff>20619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BD89F-C87E-4E09-9518-57FD0D779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255002" cy="778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1392672</xdr:colOff>
      <xdr:row>5</xdr:row>
      <xdr:rowOff>20619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47E81-84D2-4CA1-9138-1D5C67D8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255002" cy="778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2218172</xdr:colOff>
      <xdr:row>5</xdr:row>
      <xdr:rowOff>20619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08CC5-C227-4D29-BAA1-4A15CD15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" y="182880"/>
          <a:ext cx="2256272" cy="7521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76695C-A5CC-4F2D-8813-5ADC8D761A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812a73f-44ab-4fb9-934b-c7e04f7ed37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EEEC-37CC-4A9F-AF9F-5432504B9CAC}">
  <dimension ref="B3:Y79"/>
  <sheetViews>
    <sheetView showGridLines="0" tabSelected="1" topLeftCell="A24" zoomScale="70" zoomScaleNormal="70" workbookViewId="0">
      <selection activeCell="M16" sqref="M16"/>
    </sheetView>
  </sheetViews>
  <sheetFormatPr defaultRowHeight="14.4" x14ac:dyDescent="0.3"/>
  <cols>
    <col min="2" max="6" width="11.6640625" customWidth="1"/>
    <col min="7" max="7" width="2.44140625" customWidth="1"/>
    <col min="8" max="8" width="13.6640625" customWidth="1"/>
    <col min="9" max="9" width="11.6640625" customWidth="1"/>
    <col min="10" max="10" width="20.6640625" customWidth="1"/>
    <col min="11" max="14" width="11.6640625" customWidth="1"/>
    <col min="15" max="15" width="6.33203125" customWidth="1"/>
    <col min="16" max="16" width="14.33203125" customWidth="1"/>
    <col min="17" max="17" width="4.33203125" customWidth="1"/>
    <col min="18" max="18" width="11.6640625" customWidth="1"/>
    <col min="19" max="19" width="4.33203125" customWidth="1"/>
    <col min="20" max="20" width="4.6640625" customWidth="1"/>
    <col min="21" max="21" width="21" customWidth="1"/>
    <col min="22" max="22" width="16.33203125" customWidth="1"/>
    <col min="23" max="25" width="11.6640625" customWidth="1"/>
  </cols>
  <sheetData>
    <row r="3" spans="2:19" ht="15" customHeight="1" x14ac:dyDescent="0.3">
      <c r="F3" s="202" t="s">
        <v>50</v>
      </c>
      <c r="G3" s="202"/>
      <c r="H3" s="202"/>
      <c r="I3" s="202"/>
      <c r="J3" s="202"/>
      <c r="K3" s="202"/>
    </row>
    <row r="4" spans="2:19" ht="15" customHeight="1" x14ac:dyDescent="0.45">
      <c r="E4" s="2"/>
      <c r="F4" s="202"/>
      <c r="G4" s="202"/>
      <c r="H4" s="202"/>
      <c r="I4" s="202"/>
      <c r="J4" s="202"/>
      <c r="K4" s="202"/>
      <c r="L4" s="2"/>
    </row>
    <row r="5" spans="2:19" ht="15" customHeight="1" x14ac:dyDescent="0.45">
      <c r="F5" s="2"/>
      <c r="G5" s="2"/>
      <c r="H5" s="2"/>
      <c r="I5" s="2"/>
      <c r="J5" s="2"/>
      <c r="K5" s="2"/>
      <c r="L5" s="2"/>
    </row>
    <row r="6" spans="2:19" ht="15" customHeight="1" x14ac:dyDescent="0.45">
      <c r="F6" s="2"/>
      <c r="G6" s="2"/>
      <c r="H6" s="2"/>
      <c r="I6" s="2"/>
      <c r="J6" s="2"/>
      <c r="K6" s="2"/>
      <c r="L6" s="2"/>
    </row>
    <row r="7" spans="2:19" ht="15" customHeight="1" x14ac:dyDescent="0.3">
      <c r="B7" s="222" t="s">
        <v>51</v>
      </c>
      <c r="C7" s="223"/>
      <c r="D7" s="220" t="s">
        <v>48</v>
      </c>
      <c r="F7" s="210" t="s">
        <v>52</v>
      </c>
      <c r="G7" s="210"/>
      <c r="H7" s="210"/>
      <c r="I7" s="211" t="s">
        <v>53</v>
      </c>
      <c r="J7" s="212"/>
      <c r="K7" s="212"/>
      <c r="L7" s="212"/>
      <c r="M7" s="213"/>
      <c r="O7" s="210" t="s">
        <v>54</v>
      </c>
      <c r="P7" s="210"/>
      <c r="Q7" s="204">
        <v>45658</v>
      </c>
      <c r="R7" s="205"/>
      <c r="S7" s="206"/>
    </row>
    <row r="8" spans="2:19" ht="15" customHeight="1" x14ac:dyDescent="0.3">
      <c r="B8" s="222"/>
      <c r="C8" s="223"/>
      <c r="D8" s="221"/>
      <c r="F8" s="210"/>
      <c r="G8" s="210"/>
      <c r="H8" s="210"/>
      <c r="I8" s="214"/>
      <c r="J8" s="215"/>
      <c r="K8" s="215"/>
      <c r="L8" s="215"/>
      <c r="M8" s="216"/>
      <c r="O8" s="210"/>
      <c r="P8" s="210"/>
      <c r="Q8" s="207"/>
      <c r="R8" s="208"/>
      <c r="S8" s="209"/>
    </row>
    <row r="9" spans="2:19" ht="15" customHeight="1" x14ac:dyDescent="0.45">
      <c r="F9" s="2"/>
      <c r="G9" s="2"/>
      <c r="H9" s="2"/>
      <c r="I9" s="2"/>
      <c r="J9" s="2"/>
      <c r="K9" s="2"/>
      <c r="L9" s="2"/>
    </row>
    <row r="10" spans="2:19" ht="15" customHeight="1" x14ac:dyDescent="0.45">
      <c r="B10" s="222" t="s">
        <v>55</v>
      </c>
      <c r="C10" s="223"/>
      <c r="D10" s="220">
        <f>IF($F$12="Farmloop",$C$79,1)</f>
        <v>1</v>
      </c>
      <c r="F10" s="2"/>
      <c r="G10" s="2"/>
      <c r="H10" s="2"/>
      <c r="I10" s="2"/>
      <c r="J10" s="2"/>
      <c r="K10" s="2"/>
      <c r="L10" s="2"/>
    </row>
    <row r="11" spans="2:19" ht="15" customHeight="1" x14ac:dyDescent="0.3">
      <c r="B11" s="233"/>
      <c r="C11" s="223"/>
      <c r="D11" s="234"/>
      <c r="E11" s="134" t="s">
        <v>147</v>
      </c>
      <c r="F11" s="133" t="s">
        <v>145</v>
      </c>
    </row>
    <row r="12" spans="2:19" ht="15" customHeight="1" x14ac:dyDescent="0.3">
      <c r="B12" s="83"/>
      <c r="D12" s="83" t="s">
        <v>146</v>
      </c>
      <c r="E12" s="148" t="s">
        <v>167</v>
      </c>
      <c r="F12" s="149" t="s">
        <v>173</v>
      </c>
    </row>
    <row r="13" spans="2:19" ht="35.1" customHeight="1" x14ac:dyDescent="0.3">
      <c r="B13" s="173" t="s">
        <v>56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2:19" ht="43.5" customHeight="1" x14ac:dyDescent="0.3">
      <c r="B14" s="26" t="s">
        <v>57</v>
      </c>
      <c r="C14" s="26" t="s">
        <v>58</v>
      </c>
      <c r="D14" s="196" t="s">
        <v>1</v>
      </c>
      <c r="E14" s="196"/>
      <c r="F14" s="196"/>
      <c r="G14" s="196"/>
      <c r="H14" s="26" t="s">
        <v>7</v>
      </c>
      <c r="I14" s="196" t="s">
        <v>2</v>
      </c>
      <c r="J14" s="196"/>
      <c r="K14" s="196"/>
      <c r="L14" s="26" t="s">
        <v>59</v>
      </c>
      <c r="M14" s="26" t="s">
        <v>5</v>
      </c>
      <c r="N14" s="27" t="s">
        <v>60</v>
      </c>
      <c r="O14" s="27"/>
      <c r="P14" s="27" t="s">
        <v>61</v>
      </c>
      <c r="Q14" s="27"/>
      <c r="R14" s="27" t="s">
        <v>62</v>
      </c>
      <c r="S14" s="27"/>
    </row>
    <row r="15" spans="2:19" ht="16.5" customHeight="1" x14ac:dyDescent="0.3">
      <c r="B15" s="14" t="s">
        <v>63</v>
      </c>
      <c r="C15" s="14">
        <v>1</v>
      </c>
      <c r="D15" s="229" t="s">
        <v>135</v>
      </c>
      <c r="E15" s="230"/>
      <c r="F15" s="230"/>
      <c r="G15" s="231"/>
      <c r="H15" s="20">
        <v>80</v>
      </c>
      <c r="I15" s="197" t="s">
        <v>140</v>
      </c>
      <c r="J15" s="198"/>
      <c r="K15" s="199"/>
      <c r="L15" s="15">
        <v>2</v>
      </c>
      <c r="M15" s="15">
        <v>30</v>
      </c>
      <c r="N15" s="7">
        <f>IFERROR(ROUND(C15*H15/1000*VLOOKUP(D15,Materials!C:G,5,FALSE)/IF($F$12="Farmloop",$C$79,1),2),"-")</f>
        <v>1.2</v>
      </c>
      <c r="O15" s="8" t="str">
        <f>Input!$C$13</f>
        <v>€</v>
      </c>
      <c r="P15" s="7">
        <f>IFERROR(ROUND((L15+(M15/60))*C15*VLOOKUP(I15,Printers!B:H,7,FALSE)/IF($F$12="Farmloop",$C$79,1),2),"-")</f>
        <v>0.56000000000000005</v>
      </c>
      <c r="Q15" s="8" t="str">
        <f>Input!$C$13</f>
        <v>€</v>
      </c>
      <c r="R15" s="7">
        <f>IFERROR(ROUND((L15+(M15/60))*C15*VLOOKUP(I15,Printers!B:J,9,FALSE)/1000*Input!$C$10/IF($F$12="Farmloop",$C$79,1),2),"-")</f>
        <v>0.13</v>
      </c>
      <c r="S15" s="8" t="str">
        <f>Input!$C$13</f>
        <v>€</v>
      </c>
    </row>
    <row r="16" spans="2:19" ht="16.5" customHeight="1" x14ac:dyDescent="0.3">
      <c r="B16" s="16"/>
      <c r="C16" s="16"/>
      <c r="D16" s="170"/>
      <c r="E16" s="171"/>
      <c r="F16" s="171"/>
      <c r="G16" s="172"/>
      <c r="I16" s="224"/>
      <c r="J16" s="225"/>
      <c r="K16" s="226"/>
      <c r="L16" s="18"/>
      <c r="M16" s="15"/>
      <c r="N16" s="7" t="str">
        <f>IFERROR(ROUND(C16*H15/1000*VLOOKUP(D16,Materials!C:G,5,FALSE),2),"-")</f>
        <v>-</v>
      </c>
      <c r="O16" s="8" t="str">
        <f>Input!$C$13</f>
        <v>€</v>
      </c>
      <c r="P16" s="7" t="str">
        <f>IFERROR(ROUND((L16+(M16/60))*C16*VLOOKUP(I16,Printers!B:H,7,FALSE),2),"-")</f>
        <v>-</v>
      </c>
      <c r="Q16" s="8" t="str">
        <f>Input!$C$13</f>
        <v>€</v>
      </c>
      <c r="R16" s="7" t="str">
        <f>IFERROR(ROUND((L16+(M16/60))*C16*VLOOKUP(I16,Printers!B:J,9,FALSE)/1000*Input!$C$10,2),"-")</f>
        <v>-</v>
      </c>
      <c r="S16" s="8" t="str">
        <f>Input!$C$13</f>
        <v>€</v>
      </c>
    </row>
    <row r="17" spans="2:22" x14ac:dyDescent="0.3">
      <c r="B17" s="16"/>
      <c r="C17" s="16"/>
      <c r="D17" s="170"/>
      <c r="E17" s="171"/>
      <c r="F17" s="171"/>
      <c r="G17" s="172"/>
      <c r="H17" s="20"/>
      <c r="I17" s="224"/>
      <c r="J17" s="225"/>
      <c r="K17" s="226"/>
      <c r="L17" s="18"/>
      <c r="M17" s="15"/>
      <c r="N17" s="7" t="str">
        <f>IFERROR(ROUND(C17*H17/1000*VLOOKUP(D17,Materials!C:G,5,FALSE),2),"-")</f>
        <v>-</v>
      </c>
      <c r="O17" s="8" t="str">
        <f>Input!$C$13</f>
        <v>€</v>
      </c>
      <c r="P17" s="7" t="str">
        <f>IFERROR(ROUND((L17+(M17/60))*C17*VLOOKUP(I17,Printers!B:H,7,FALSE),2),"-")</f>
        <v>-</v>
      </c>
      <c r="Q17" s="8" t="str">
        <f>Input!$C$13</f>
        <v>€</v>
      </c>
      <c r="R17" s="7" t="str">
        <f>IFERROR(ROUND((L17+(M17/60))*C17*VLOOKUP(I17,Printers!B:J,9,FALSE)/1000*Input!$C$10,2),"-")</f>
        <v>-</v>
      </c>
      <c r="S17" s="8" t="str">
        <f>Input!$C$13</f>
        <v>€</v>
      </c>
    </row>
    <row r="18" spans="2:22" x14ac:dyDescent="0.3">
      <c r="B18" s="16"/>
      <c r="C18" s="16"/>
      <c r="D18" s="170"/>
      <c r="E18" s="171"/>
      <c r="F18" s="171"/>
      <c r="G18" s="172"/>
      <c r="H18" s="20"/>
      <c r="I18" s="224"/>
      <c r="J18" s="225"/>
      <c r="K18" s="226"/>
      <c r="L18" s="18"/>
      <c r="M18" s="15"/>
      <c r="N18" s="7" t="str">
        <f>IFERROR(ROUND(C18*H18/1000*VLOOKUP(D18,Materials!C:G,5,FALSE),2),"-")</f>
        <v>-</v>
      </c>
      <c r="O18" s="8" t="str">
        <f>Input!$C$13</f>
        <v>€</v>
      </c>
      <c r="P18" s="7" t="str">
        <f>IFERROR(ROUND((L18+(M18/60))*C18*VLOOKUP(I18,Printers!B:H,7,FALSE),2),"-")</f>
        <v>-</v>
      </c>
      <c r="Q18" s="8" t="str">
        <f>Input!$C$13</f>
        <v>€</v>
      </c>
      <c r="R18" s="7" t="str">
        <f>IFERROR(ROUND((L18+(M18/60))*C18*VLOOKUP(I18,Printers!B:J,9,FALSE)/1000*Input!$C$10,2),"-")</f>
        <v>-</v>
      </c>
      <c r="S18" s="8" t="str">
        <f>Input!$C$13</f>
        <v>€</v>
      </c>
      <c r="V18" t="s">
        <v>49</v>
      </c>
    </row>
    <row r="19" spans="2:22" x14ac:dyDescent="0.3">
      <c r="B19" s="16"/>
      <c r="C19" s="16"/>
      <c r="D19" s="170"/>
      <c r="E19" s="171"/>
      <c r="F19" s="171"/>
      <c r="G19" s="172"/>
      <c r="H19" s="20"/>
      <c r="I19" s="224"/>
      <c r="J19" s="225"/>
      <c r="K19" s="226"/>
      <c r="L19" s="18"/>
      <c r="M19" s="15"/>
      <c r="N19" s="7" t="str">
        <f>IFERROR(ROUND(C19*H19/1000*VLOOKUP(D19,Materials!C:G,5,FALSE),2),"-")</f>
        <v>-</v>
      </c>
      <c r="O19" s="8" t="str">
        <f>Input!$C$13</f>
        <v>€</v>
      </c>
      <c r="P19" s="7" t="str">
        <f>IFERROR(ROUND((L19+(M19/60))*C19*VLOOKUP(I19,Printers!B:H,7,FALSE),2),"-")</f>
        <v>-</v>
      </c>
      <c r="Q19" s="8" t="str">
        <f>Input!$C$13</f>
        <v>€</v>
      </c>
      <c r="R19" s="7" t="str">
        <f>IFERROR(ROUND((L19+(M19/60))*C19*VLOOKUP(I19,Printers!B:J,9,FALSE)/1000*Input!$C$10,2),"-")</f>
        <v>-</v>
      </c>
      <c r="S19" s="8" t="str">
        <f>Input!$C$13</f>
        <v>€</v>
      </c>
    </row>
    <row r="20" spans="2:22" x14ac:dyDescent="0.3">
      <c r="B20" s="47"/>
      <c r="C20" s="47"/>
      <c r="D20" s="190"/>
      <c r="E20" s="191"/>
      <c r="F20" s="191"/>
      <c r="G20" s="192"/>
      <c r="H20" s="61"/>
      <c r="I20" s="193"/>
      <c r="J20" s="194"/>
      <c r="K20" s="195"/>
      <c r="L20" s="49"/>
      <c r="M20" s="50"/>
      <c r="N20" s="7" t="str">
        <f>IFERROR(ROUND(C20*H20/1000*VLOOKUP(D20,Materials!C:G,5,FALSE),2),"-")</f>
        <v>-</v>
      </c>
      <c r="O20" s="8" t="str">
        <f>Input!$C$13</f>
        <v>€</v>
      </c>
      <c r="P20" s="7" t="str">
        <f>IFERROR(ROUND((L20+(M20/60))*C20*VLOOKUP(I20,Printers!B:H,7,FALSE),2),"-")</f>
        <v>-</v>
      </c>
      <c r="Q20" s="8" t="str">
        <f>Input!$C$13</f>
        <v>€</v>
      </c>
      <c r="R20" s="7" t="str">
        <f>IFERROR(ROUND((L20+(M20/60))*C20*VLOOKUP(I20,Printers!B:J,9,FALSE)/1000*Input!$C$10,2),"-")</f>
        <v>-</v>
      </c>
      <c r="S20" s="8" t="str">
        <f>Input!$C$13</f>
        <v>€</v>
      </c>
    </row>
    <row r="21" spans="2:22" ht="17.399999999999999" x14ac:dyDescent="0.3">
      <c r="B21" s="217" t="s">
        <v>64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9"/>
      <c r="N21" s="51">
        <f>SUM(N15:N20)</f>
        <v>1.2</v>
      </c>
      <c r="O21" s="52" t="str">
        <f>Input!$C$13</f>
        <v>€</v>
      </c>
      <c r="P21" s="51">
        <f>SUM(P15:P20)</f>
        <v>0.56000000000000005</v>
      </c>
      <c r="Q21" s="52" t="str">
        <f>Input!$C$13</f>
        <v>€</v>
      </c>
      <c r="R21" s="51">
        <f>SUM(R15:R20)</f>
        <v>0.13</v>
      </c>
      <c r="S21" s="52" t="str">
        <f>Input!$C$13</f>
        <v>€</v>
      </c>
    </row>
    <row r="24" spans="2:22" ht="35.1" customHeight="1" x14ac:dyDescent="0.3">
      <c r="B24" s="166" t="s">
        <v>65</v>
      </c>
      <c r="C24" s="166"/>
      <c r="D24" s="166"/>
      <c r="E24" s="166"/>
      <c r="F24" s="166"/>
      <c r="G24" s="166"/>
      <c r="I24" s="187" t="s">
        <v>66</v>
      </c>
      <c r="J24" s="187"/>
      <c r="K24" s="187"/>
      <c r="L24" s="187"/>
      <c r="N24" s="187" t="s">
        <v>67</v>
      </c>
      <c r="O24" s="187"/>
      <c r="P24" s="187"/>
      <c r="Q24" s="187"/>
      <c r="R24" s="187"/>
      <c r="S24" s="187"/>
      <c r="U24" s="46" t="s">
        <v>68</v>
      </c>
      <c r="V24" s="44">
        <v>50</v>
      </c>
    </row>
    <row r="25" spans="2:22" ht="27" customHeight="1" x14ac:dyDescent="0.3">
      <c r="B25" s="186" t="s">
        <v>69</v>
      </c>
      <c r="C25" s="186"/>
      <c r="D25" s="28" t="s">
        <v>58</v>
      </c>
      <c r="E25" s="29" t="str">
        <f>"Kosten per stuk"&amp;" $"</f>
        <v>Kosten per stuk $</v>
      </c>
      <c r="F25" s="186" t="s">
        <v>70</v>
      </c>
      <c r="G25" s="186"/>
      <c r="I25" s="186" t="s">
        <v>66</v>
      </c>
      <c r="J25" s="186"/>
      <c r="K25" s="186" t="s">
        <v>71</v>
      </c>
      <c r="L25" s="186"/>
      <c r="N25" s="186" t="s">
        <v>67</v>
      </c>
      <c r="O25" s="188"/>
      <c r="P25" s="188"/>
      <c r="Q25" s="188"/>
      <c r="R25" s="186" t="s">
        <v>71</v>
      </c>
      <c r="S25" s="186"/>
    </row>
    <row r="26" spans="2:22" ht="18" customHeight="1" x14ac:dyDescent="0.3">
      <c r="B26" s="240" t="s">
        <v>72</v>
      </c>
      <c r="C26" s="241"/>
      <c r="D26" s="19">
        <f>IF($D$7="Klein",1,1)</f>
        <v>1</v>
      </c>
      <c r="E26" s="17">
        <f>IF($F$11="Klein",0.5,0.45)</f>
        <v>0.5</v>
      </c>
      <c r="F26" s="7">
        <f t="shared" ref="F26:F32" si="0">IF((D26*E26)=0,"-",D26*E26)</f>
        <v>0.5</v>
      </c>
      <c r="G26" s="9" t="str">
        <f>Input!$C$13</f>
        <v>€</v>
      </c>
      <c r="I26" s="227" t="s">
        <v>1</v>
      </c>
      <c r="J26" s="227"/>
      <c r="K26" s="7">
        <f>$N$21</f>
        <v>1.2</v>
      </c>
      <c r="L26" s="10" t="str">
        <f>Input!$C$13</f>
        <v>€</v>
      </c>
      <c r="N26" s="200" t="s">
        <v>73</v>
      </c>
      <c r="O26" s="200"/>
      <c r="P26" s="200"/>
      <c r="Q26" s="200"/>
      <c r="R26" s="7">
        <f>K35</f>
        <v>3.96</v>
      </c>
      <c r="S26" s="10" t="str">
        <f>Input!$C$13</f>
        <v>€</v>
      </c>
      <c r="U26" s="203" t="s">
        <v>74</v>
      </c>
      <c r="V26" s="177" t="str">
        <f>Input!$C$13&amp;R29</f>
        <v>€5,94</v>
      </c>
    </row>
    <row r="27" spans="2:22" ht="16.5" customHeight="1" x14ac:dyDescent="0.3">
      <c r="B27" s="170" t="s">
        <v>75</v>
      </c>
      <c r="C27" s="189"/>
      <c r="D27" s="16">
        <v>1</v>
      </c>
      <c r="E27" s="17">
        <f>IF($F$11="Klein",0,0.1)</f>
        <v>0</v>
      </c>
      <c r="F27" s="7" t="str">
        <f t="shared" si="0"/>
        <v>-</v>
      </c>
      <c r="G27" s="9" t="str">
        <f>Input!$C$13</f>
        <v>€</v>
      </c>
      <c r="I27" s="227" t="s">
        <v>61</v>
      </c>
      <c r="J27" s="228"/>
      <c r="K27" s="7">
        <f>$P$21</f>
        <v>0.56000000000000005</v>
      </c>
      <c r="L27" s="10" t="str">
        <f>Input!$C$13</f>
        <v>€</v>
      </c>
      <c r="N27" s="200" t="s">
        <v>76</v>
      </c>
      <c r="O27" s="200"/>
      <c r="P27" s="200"/>
      <c r="Q27" s="200"/>
      <c r="R27" s="11">
        <f>V24</f>
        <v>50</v>
      </c>
      <c r="S27" s="10" t="s">
        <v>3</v>
      </c>
      <c r="U27" s="203"/>
      <c r="V27" s="177"/>
    </row>
    <row r="28" spans="2:22" x14ac:dyDescent="0.3">
      <c r="B28" s="170" t="s">
        <v>35</v>
      </c>
      <c r="C28" s="189"/>
      <c r="D28" s="14">
        <v>1</v>
      </c>
      <c r="E28" s="17">
        <f>IF($F$11="Klein",0,0.2)</f>
        <v>0</v>
      </c>
      <c r="F28" s="7" t="str">
        <f t="shared" si="0"/>
        <v>-</v>
      </c>
      <c r="G28" s="9" t="str">
        <f>Input!$C$13</f>
        <v>€</v>
      </c>
      <c r="I28" s="227" t="s">
        <v>77</v>
      </c>
      <c r="J28" s="228"/>
      <c r="K28" s="7">
        <f>$R$21</f>
        <v>0.13</v>
      </c>
      <c r="L28" s="10" t="str">
        <f>Input!$C$13</f>
        <v>€</v>
      </c>
      <c r="N28" s="200" t="s">
        <v>78</v>
      </c>
      <c r="O28" s="200"/>
      <c r="P28" s="200"/>
      <c r="Q28" s="200"/>
      <c r="R28" s="7">
        <f>ROUND(R26*R27/100,2)</f>
        <v>1.98</v>
      </c>
      <c r="S28" s="10" t="str">
        <f>Input!$C$13</f>
        <v>€</v>
      </c>
      <c r="U28" s="178" t="s">
        <v>79</v>
      </c>
      <c r="V28" s="180" t="str">
        <f>Input!$C$13&amp;K35</f>
        <v>€3,96</v>
      </c>
    </row>
    <row r="29" spans="2:22" ht="18" thickBot="1" x14ac:dyDescent="0.35">
      <c r="B29" s="170" t="s">
        <v>36</v>
      </c>
      <c r="C29" s="189"/>
      <c r="D29" s="16">
        <v>1</v>
      </c>
      <c r="E29" s="17">
        <f>IF($F$11="Klein",0,0.1)</f>
        <v>0</v>
      </c>
      <c r="F29" s="7" t="str">
        <f t="shared" si="0"/>
        <v>-</v>
      </c>
      <c r="G29" s="9" t="str">
        <f>Input!$C$13</f>
        <v>€</v>
      </c>
      <c r="I29" s="227" t="s">
        <v>65</v>
      </c>
      <c r="J29" s="228"/>
      <c r="K29" s="7">
        <f>$F$34</f>
        <v>0.5</v>
      </c>
      <c r="L29" s="10" t="str">
        <f>Input!$C$13</f>
        <v>€</v>
      </c>
      <c r="N29" s="201" t="s">
        <v>80</v>
      </c>
      <c r="O29" s="201"/>
      <c r="P29" s="201"/>
      <c r="Q29" s="201"/>
      <c r="R29" s="53">
        <f>R26+R28</f>
        <v>5.9399999999999995</v>
      </c>
      <c r="S29" s="54" t="str">
        <f>Input!$C$13</f>
        <v>€</v>
      </c>
      <c r="U29" s="179"/>
      <c r="V29" s="181"/>
    </row>
    <row r="30" spans="2:22" ht="14.7" customHeight="1" thickTop="1" x14ac:dyDescent="0.3">
      <c r="B30" s="170"/>
      <c r="C30" s="189"/>
      <c r="D30" s="14"/>
      <c r="E30" s="17"/>
      <c r="F30" s="7" t="str">
        <f t="shared" si="0"/>
        <v>-</v>
      </c>
      <c r="G30" s="9" t="str">
        <f>Input!$C$13</f>
        <v>€</v>
      </c>
      <c r="I30" s="227" t="s">
        <v>81</v>
      </c>
      <c r="J30" s="228"/>
      <c r="K30" s="7">
        <f>ROUND(E43*(Input!$C$11/60),2)</f>
        <v>0.33</v>
      </c>
      <c r="L30" s="10" t="str">
        <f>Input!$C$13</f>
        <v>€</v>
      </c>
      <c r="N30" s="126" t="s">
        <v>143</v>
      </c>
      <c r="O30" s="127"/>
      <c r="P30" s="127"/>
      <c r="Q30" s="127"/>
      <c r="R30" s="128">
        <f>ROUND(R29*Input!$C$16,2)</f>
        <v>1.25</v>
      </c>
      <c r="S30" s="125" t="str">
        <f>Input!$C$13</f>
        <v>€</v>
      </c>
      <c r="U30" s="182" t="s">
        <v>82</v>
      </c>
      <c r="V30" s="184" t="str">
        <f>Input!$C$13&amp;K59</f>
        <v>€1,98</v>
      </c>
    </row>
    <row r="31" spans="2:22" ht="17.7" customHeight="1" x14ac:dyDescent="0.3">
      <c r="B31" s="170"/>
      <c r="C31" s="189"/>
      <c r="D31" s="16"/>
      <c r="E31" s="17"/>
      <c r="F31" s="7" t="str">
        <f t="shared" si="0"/>
        <v>-</v>
      </c>
      <c r="G31" s="9" t="str">
        <f>Input!$C$13</f>
        <v>€</v>
      </c>
      <c r="I31" s="227" t="s">
        <v>83</v>
      </c>
      <c r="J31" s="228"/>
      <c r="K31" s="7">
        <f>ROUND(E49*(Input!$C$11/60),2)</f>
        <v>0.33</v>
      </c>
      <c r="L31" s="10" t="str">
        <f>Input!$C$13</f>
        <v>€</v>
      </c>
      <c r="N31" s="130" t="s">
        <v>144</v>
      </c>
      <c r="O31" s="131"/>
      <c r="P31" s="131"/>
      <c r="Q31" s="131"/>
      <c r="R31" s="132">
        <f>R29+R30</f>
        <v>7.1899999999999995</v>
      </c>
      <c r="S31" s="129" t="str">
        <f>Input!$C$13</f>
        <v>€</v>
      </c>
      <c r="U31" s="183"/>
      <c r="V31" s="185"/>
    </row>
    <row r="32" spans="2:22" x14ac:dyDescent="0.3">
      <c r="B32" s="190"/>
      <c r="C32" s="239"/>
      <c r="D32" s="14"/>
      <c r="E32" s="48"/>
      <c r="F32" s="7" t="str">
        <f t="shared" si="0"/>
        <v>-</v>
      </c>
      <c r="G32" s="9" t="str">
        <f>Input!$C$13</f>
        <v>€</v>
      </c>
      <c r="I32" s="79" t="s">
        <v>84</v>
      </c>
      <c r="J32" s="80"/>
      <c r="K32" s="7">
        <f>E58</f>
        <v>0.33333333333333331</v>
      </c>
      <c r="L32" s="10" t="str">
        <f>Input!$C$13</f>
        <v>€</v>
      </c>
    </row>
    <row r="33" spans="2:22" x14ac:dyDescent="0.3">
      <c r="B33" s="190"/>
      <c r="C33" s="239"/>
      <c r="D33" s="16"/>
      <c r="E33" s="48"/>
      <c r="F33" s="7"/>
      <c r="G33" s="9"/>
      <c r="I33" s="232" t="s">
        <v>85</v>
      </c>
      <c r="J33" s="232"/>
      <c r="K33" s="7">
        <f>Input!C15/Input!C14</f>
        <v>0.5</v>
      </c>
      <c r="L33" s="10" t="str">
        <f>Input!$C$13</f>
        <v>€</v>
      </c>
    </row>
    <row r="34" spans="2:22" ht="18.600000000000001" thickBot="1" x14ac:dyDescent="0.35">
      <c r="B34" s="217" t="s">
        <v>64</v>
      </c>
      <c r="C34" s="218"/>
      <c r="D34" s="218"/>
      <c r="E34" s="219"/>
      <c r="F34" s="51">
        <f>SUM(F26:F32)</f>
        <v>0.5</v>
      </c>
      <c r="G34" s="52" t="str">
        <f>Input!$C$13</f>
        <v>€</v>
      </c>
      <c r="I34" s="242" t="s">
        <v>86</v>
      </c>
      <c r="J34" s="243"/>
      <c r="K34" s="57">
        <f>SUM(K26:K33)</f>
        <v>3.8833333333333337</v>
      </c>
      <c r="L34" s="58" t="str">
        <f>Input!$C$13</f>
        <v>€</v>
      </c>
    </row>
    <row r="35" spans="2:22" ht="18.600000000000001" thickTop="1" x14ac:dyDescent="0.3">
      <c r="I35" s="237" t="s">
        <v>87</v>
      </c>
      <c r="J35" s="238"/>
      <c r="K35" s="24">
        <f>ROUND(K34*(Input!C12/100)+K34,2)</f>
        <v>3.96</v>
      </c>
      <c r="L35" s="25" t="str">
        <f>Input!$C$13</f>
        <v>€</v>
      </c>
    </row>
    <row r="37" spans="2:22" ht="35.1" customHeight="1" x14ac:dyDescent="0.3">
      <c r="B37" s="173" t="s">
        <v>88</v>
      </c>
      <c r="C37" s="173"/>
      <c r="D37" s="173"/>
      <c r="E37" s="173"/>
      <c r="F37" s="173"/>
      <c r="G37" s="173"/>
      <c r="U37" s="32" t="s">
        <v>89</v>
      </c>
      <c r="V37" s="22" t="str">
        <f>SUM(E43,E49) &amp;" mins"</f>
        <v>2 mins</v>
      </c>
    </row>
    <row r="38" spans="2:22" ht="14.7" customHeight="1" x14ac:dyDescent="0.3">
      <c r="B38" s="88" t="s">
        <v>81</v>
      </c>
      <c r="C38" s="88"/>
      <c r="D38" s="235" t="s">
        <v>90</v>
      </c>
      <c r="E38" s="235" t="s">
        <v>91</v>
      </c>
      <c r="F38" s="31"/>
      <c r="G38" s="31"/>
    </row>
    <row r="39" spans="2:22" ht="14.7" customHeight="1" x14ac:dyDescent="0.3">
      <c r="B39" s="89"/>
      <c r="C39" s="89"/>
      <c r="D39" s="186"/>
      <c r="E39" s="186"/>
      <c r="F39" s="45"/>
      <c r="G39" s="45"/>
    </row>
    <row r="40" spans="2:22" ht="14.7" customHeight="1" x14ac:dyDescent="0.3">
      <c r="B40" s="92" t="s">
        <v>92</v>
      </c>
      <c r="C40" s="93"/>
      <c r="D40" s="85">
        <f>IF($F$11="Klein",0.5,1)</f>
        <v>0.5</v>
      </c>
      <c r="E40" s="96">
        <f>D40/$D$10</f>
        <v>0.5</v>
      </c>
      <c r="F40" s="12" t="s">
        <v>0</v>
      </c>
      <c r="G40" s="3"/>
    </row>
    <row r="41" spans="2:22" x14ac:dyDescent="0.3">
      <c r="B41" s="94" t="s">
        <v>93</v>
      </c>
      <c r="C41" s="95"/>
      <c r="D41" s="85">
        <f>IF($F$11="Klein",0.5,1)</f>
        <v>0.5</v>
      </c>
      <c r="E41" s="96">
        <f t="shared" ref="E41:E42" si="1">D41/$D$10</f>
        <v>0.5</v>
      </c>
      <c r="F41" s="12" t="s">
        <v>0</v>
      </c>
      <c r="G41" s="3"/>
    </row>
    <row r="42" spans="2:22" x14ac:dyDescent="0.3">
      <c r="B42" s="90" t="s">
        <v>94</v>
      </c>
      <c r="C42" s="91"/>
      <c r="D42" s="87">
        <f>IF($F$11="Klein",0,1)</f>
        <v>0</v>
      </c>
      <c r="E42" s="96">
        <f t="shared" si="1"/>
        <v>0</v>
      </c>
      <c r="F42" s="55" t="s">
        <v>0</v>
      </c>
      <c r="G42" s="3"/>
    </row>
    <row r="43" spans="2:22" ht="18" x14ac:dyDescent="0.3">
      <c r="B43" s="163" t="s">
        <v>95</v>
      </c>
      <c r="C43" s="174"/>
      <c r="D43" s="175"/>
      <c r="E43" s="86">
        <f>SUM(E40:E42)</f>
        <v>1</v>
      </c>
      <c r="F43" s="56" t="s">
        <v>0</v>
      </c>
      <c r="G43" s="56"/>
    </row>
    <row r="44" spans="2:22" x14ac:dyDescent="0.3">
      <c r="C44" s="1"/>
      <c r="D44" s="1"/>
    </row>
    <row r="45" spans="2:22" ht="35.1" customHeight="1" x14ac:dyDescent="0.3">
      <c r="B45" s="34" t="s">
        <v>83</v>
      </c>
      <c r="C45" s="34"/>
      <c r="D45" s="34" t="s">
        <v>90</v>
      </c>
      <c r="E45" s="30" t="s">
        <v>91</v>
      </c>
      <c r="F45" s="244"/>
      <c r="G45" s="244"/>
    </row>
    <row r="46" spans="2:22" x14ac:dyDescent="0.3">
      <c r="B46" s="94" t="s">
        <v>96</v>
      </c>
      <c r="C46" s="95"/>
      <c r="D46" s="85">
        <f>IF($D$11="Klein",0.5,0.5)</f>
        <v>0.5</v>
      </c>
      <c r="E46" s="96">
        <f>D46/$D$10</f>
        <v>0.5</v>
      </c>
      <c r="F46" s="12" t="s">
        <v>0</v>
      </c>
      <c r="G46" s="3"/>
    </row>
    <row r="47" spans="2:22" ht="17.399999999999999" x14ac:dyDescent="0.3">
      <c r="B47" s="94" t="s">
        <v>97</v>
      </c>
      <c r="C47" s="95"/>
      <c r="D47" s="85">
        <f>IF($D$11="Klein",0,0)</f>
        <v>0</v>
      </c>
      <c r="E47" s="96">
        <f t="shared" ref="E47:E48" si="2">D47/$D$10</f>
        <v>0</v>
      </c>
      <c r="F47" s="12" t="s">
        <v>0</v>
      </c>
      <c r="G47" s="3"/>
      <c r="U47" s="116" t="s">
        <v>142</v>
      </c>
      <c r="V47" s="117"/>
    </row>
    <row r="48" spans="2:22" x14ac:dyDescent="0.3">
      <c r="B48" s="94" t="s">
        <v>98</v>
      </c>
      <c r="C48" s="95"/>
      <c r="D48" s="87">
        <f>IF($F$11="Klein",0.5,1)</f>
        <v>0.5</v>
      </c>
      <c r="E48" s="96">
        <f t="shared" si="2"/>
        <v>0.5</v>
      </c>
      <c r="F48" s="12" t="s">
        <v>0</v>
      </c>
      <c r="G48" s="3"/>
      <c r="U48" s="119" t="s">
        <v>138</v>
      </c>
      <c r="V48" s="120">
        <v>3</v>
      </c>
    </row>
    <row r="49" spans="2:22" ht="17.399999999999999" x14ac:dyDescent="0.3">
      <c r="B49" s="163" t="s">
        <v>95</v>
      </c>
      <c r="C49" s="164"/>
      <c r="D49" s="165"/>
      <c r="E49" s="86">
        <f>SUM(E46:E48)</f>
        <v>1</v>
      </c>
      <c r="F49" s="56" t="s">
        <v>0</v>
      </c>
      <c r="G49" s="56"/>
    </row>
    <row r="50" spans="2:22" x14ac:dyDescent="0.3">
      <c r="U50" s="118" t="s">
        <v>38</v>
      </c>
      <c r="V50" s="121">
        <f>ROUND((K35+V48+VLOOKUP("Shopify Basic",Fees!B:J,9,FALSE))/(1-Input!$C$16/(1+Input!$C$16)-VLOOKUP("Shopify Basic",Fees!B:J,8,FALSE)),2)</f>
        <v>9.36</v>
      </c>
    </row>
    <row r="51" spans="2:22" ht="14.7" customHeight="1" x14ac:dyDescent="0.3">
      <c r="U51" s="118" t="s">
        <v>139</v>
      </c>
      <c r="V51" s="121">
        <f>ROUND((K35+V48+VLOOKUP("Etsy ",Fees!B:J,9,FALSE))/(1-Input!$C$16/(1+Input!$C$16)-VLOOKUP("Etsy ",Fees!B:J,8,FALSE)),2)</f>
        <v>10.130000000000001</v>
      </c>
    </row>
    <row r="52" spans="2:22" x14ac:dyDescent="0.3">
      <c r="U52" s="118" t="s">
        <v>148</v>
      </c>
      <c r="V52" s="121">
        <f>ROUND((K35+V48+VLOOKUP("Bol.com",Fees!B:J,9,FALSE)+VLOOKUP("Bol.com",Fees!B:J,8,FALSE)*4.1)/(1-Input!$C$16/(1+Input!$C$16)-VLOOKUP("Bol.com",Fees!B:J,8,FALSE)),2)</f>
        <v>12.97</v>
      </c>
    </row>
    <row r="53" spans="2:22" ht="35.1" customHeight="1" x14ac:dyDescent="0.3">
      <c r="B53" s="166" t="s">
        <v>99</v>
      </c>
      <c r="C53" s="166"/>
      <c r="D53" s="166"/>
      <c r="E53" s="166"/>
      <c r="F53" s="166"/>
      <c r="G53" s="166"/>
      <c r="I53" s="166" t="s">
        <v>100</v>
      </c>
      <c r="J53" s="166"/>
      <c r="K53" s="166"/>
      <c r="L53" s="166"/>
      <c r="M53" s="166"/>
      <c r="N53" s="166"/>
      <c r="O53" s="166"/>
      <c r="P53" s="166"/>
      <c r="Q53" s="166"/>
      <c r="R53" s="166"/>
      <c r="S53" s="166"/>
    </row>
    <row r="54" spans="2:22" ht="17.25" customHeight="1" x14ac:dyDescent="0.3">
      <c r="B54" s="186" t="s">
        <v>99</v>
      </c>
      <c r="C54" s="186"/>
      <c r="D54" s="186"/>
      <c r="E54" s="186" t="s">
        <v>66</v>
      </c>
      <c r="F54" s="34"/>
      <c r="G54" s="34"/>
      <c r="I54" s="81"/>
      <c r="J54" s="81"/>
      <c r="K54" s="33">
        <v>0</v>
      </c>
      <c r="L54" s="33">
        <v>0.05</v>
      </c>
      <c r="M54" s="33">
        <v>0.1</v>
      </c>
      <c r="N54" s="33">
        <v>0.2</v>
      </c>
      <c r="O54" s="176">
        <v>0.3</v>
      </c>
      <c r="P54" s="176"/>
      <c r="Q54" s="176">
        <v>0.5</v>
      </c>
      <c r="R54" s="176"/>
      <c r="S54" s="176"/>
      <c r="U54" s="118" t="s">
        <v>149</v>
      </c>
      <c r="V54" s="121">
        <f>ROUND((K35+V48+VLOOKUP("Bol.com",Fees!B:J,9,FALSE)+VLOOKUP("Bol.com",Fees!B:J,8,FALSE)*6.5)/(1-Input!$C$16/(1+Input!$C$16)-VLOOKUP("Bol.com",Fees!B:J,8,FALSE)),2)</f>
        <v>13.5</v>
      </c>
    </row>
    <row r="55" spans="2:22" ht="17.25" customHeight="1" x14ac:dyDescent="0.3">
      <c r="B55" s="245"/>
      <c r="C55" s="245"/>
      <c r="D55" s="245"/>
      <c r="E55" s="186"/>
      <c r="F55" s="34"/>
      <c r="G55" s="34"/>
      <c r="I55" s="236" t="s">
        <v>101</v>
      </c>
      <c r="J55" s="236"/>
      <c r="N55" s="109"/>
      <c r="Q55" s="246"/>
      <c r="R55" s="246"/>
      <c r="S55" s="246"/>
    </row>
    <row r="56" spans="2:22" ht="17.25" customHeight="1" x14ac:dyDescent="0.3">
      <c r="B56" s="167" t="s">
        <v>102</v>
      </c>
      <c r="C56" s="168"/>
      <c r="D56" s="169"/>
      <c r="E56" s="85">
        <v>0</v>
      </c>
      <c r="F56" s="12" t="str">
        <f>Input!$C$13</f>
        <v>€</v>
      </c>
      <c r="G56" s="3"/>
      <c r="I56" s="82" t="str">
        <f>"Prijzen met korting"</f>
        <v>Prijzen met korting</v>
      </c>
      <c r="J56" s="82"/>
      <c r="K56" s="106">
        <f>R29</f>
        <v>5.9399999999999995</v>
      </c>
      <c r="L56" s="106">
        <f>K56-(K56*L54)</f>
        <v>5.6429999999999998</v>
      </c>
      <c r="M56" s="106">
        <f>K56-(K56*M54)</f>
        <v>5.3459999999999992</v>
      </c>
      <c r="N56" s="106">
        <f>K56-(K56*N54)</f>
        <v>4.7519999999999998</v>
      </c>
      <c r="O56" s="162">
        <f>K56-(K56*O54)</f>
        <v>4.1579999999999995</v>
      </c>
      <c r="P56" s="162"/>
      <c r="Q56" s="162">
        <f>K56-(K56*Q54)</f>
        <v>2.9699999999999998</v>
      </c>
      <c r="R56" s="162"/>
      <c r="S56" s="162"/>
    </row>
    <row r="57" spans="2:22" ht="17.25" customHeight="1" x14ac:dyDescent="0.3">
      <c r="B57" s="170" t="s">
        <v>103</v>
      </c>
      <c r="C57" s="171"/>
      <c r="D57" s="172"/>
      <c r="E57" s="85">
        <v>1</v>
      </c>
      <c r="F57" s="12" t="s">
        <v>0</v>
      </c>
      <c r="G57" s="3"/>
      <c r="I57" s="82" t="str">
        <f>"Productiekosten"</f>
        <v>Productiekosten</v>
      </c>
      <c r="K57" s="106">
        <f>$K$35</f>
        <v>3.96</v>
      </c>
      <c r="L57" s="106">
        <f t="shared" ref="L57:Q57" si="3">$K$35</f>
        <v>3.96</v>
      </c>
      <c r="M57" s="106">
        <f t="shared" si="3"/>
        <v>3.96</v>
      </c>
      <c r="N57" s="106">
        <f t="shared" si="3"/>
        <v>3.96</v>
      </c>
      <c r="O57" s="162">
        <f t="shared" si="3"/>
        <v>3.96</v>
      </c>
      <c r="P57" s="162"/>
      <c r="Q57" s="162">
        <f t="shared" si="3"/>
        <v>3.96</v>
      </c>
      <c r="R57" s="162"/>
      <c r="S57" s="162"/>
    </row>
    <row r="58" spans="2:22" ht="17.25" customHeight="1" x14ac:dyDescent="0.3">
      <c r="B58" s="163" t="s">
        <v>95</v>
      </c>
      <c r="C58" s="164"/>
      <c r="D58" s="165"/>
      <c r="E58" s="86">
        <f>E56+E57/60*Input!C11</f>
        <v>0.33333333333333331</v>
      </c>
      <c r="F58" s="56" t="str">
        <f>Input!$C$13</f>
        <v>€</v>
      </c>
      <c r="G58" s="56"/>
      <c r="I58" s="77" t="s">
        <v>104</v>
      </c>
      <c r="J58" s="112"/>
      <c r="K58" s="6">
        <v>0</v>
      </c>
      <c r="L58" s="6">
        <f>K56-L56</f>
        <v>0.29699999999999971</v>
      </c>
      <c r="M58" s="6">
        <f>K56-M56</f>
        <v>0.59400000000000031</v>
      </c>
      <c r="N58" s="6">
        <f>K56-N56</f>
        <v>1.1879999999999997</v>
      </c>
      <c r="O58" s="160">
        <f>K56-O56</f>
        <v>1.782</v>
      </c>
      <c r="P58" s="160"/>
      <c r="Q58" s="160">
        <f>K56-Q56</f>
        <v>2.9699999999999998</v>
      </c>
      <c r="R58" s="160"/>
      <c r="S58" s="160"/>
    </row>
    <row r="59" spans="2:22" ht="15" x14ac:dyDescent="0.3">
      <c r="B59" s="84"/>
      <c r="C59" s="84"/>
      <c r="D59" s="84"/>
      <c r="E59" s="84"/>
      <c r="F59" s="84"/>
      <c r="G59" s="84"/>
      <c r="I59" s="78" t="str">
        <f>"Potentiële winst" &amp;" ("&amp;Input!C13&amp;")"</f>
        <v>Potentiële winst (€)</v>
      </c>
      <c r="J59" s="78"/>
      <c r="K59" s="59">
        <f>K56-K58-R26</f>
        <v>1.9799999999999995</v>
      </c>
      <c r="L59" s="59">
        <f>K56-L58-R26</f>
        <v>1.6829999999999998</v>
      </c>
      <c r="M59" s="59">
        <f>K56-M58-R26</f>
        <v>1.3859999999999992</v>
      </c>
      <c r="N59" s="59">
        <f>K56-N58-R26</f>
        <v>0.79199999999999982</v>
      </c>
      <c r="O59" s="161">
        <f>K56-O58-R26</f>
        <v>0.19799999999999951</v>
      </c>
      <c r="P59" s="161"/>
      <c r="Q59" s="161">
        <f>K56-Q58-R26</f>
        <v>-0.99000000000000021</v>
      </c>
      <c r="R59" s="161"/>
      <c r="S59" s="161"/>
    </row>
    <row r="60" spans="2:22" ht="15" x14ac:dyDescent="0.3">
      <c r="B60" s="84"/>
      <c r="C60" s="84"/>
      <c r="D60" s="84"/>
      <c r="E60" s="84"/>
      <c r="F60" s="84"/>
      <c r="G60" s="84"/>
      <c r="I60" s="153" t="s">
        <v>38</v>
      </c>
      <c r="J60" s="153"/>
      <c r="K60" s="13"/>
      <c r="L60" s="13"/>
      <c r="M60" s="13"/>
      <c r="N60" s="13"/>
      <c r="O60" s="154"/>
      <c r="P60" s="154"/>
      <c r="Q60" s="159"/>
      <c r="R60" s="159"/>
      <c r="S60" s="159"/>
    </row>
    <row r="61" spans="2:22" ht="15" x14ac:dyDescent="0.3">
      <c r="B61" s="84"/>
      <c r="C61" s="84"/>
      <c r="D61" s="84"/>
      <c r="E61" s="84"/>
      <c r="F61" s="84"/>
      <c r="G61" s="84"/>
      <c r="I61" s="107" t="s">
        <v>105</v>
      </c>
      <c r="J61" s="111">
        <f>VLOOKUP(I60,Fees!B:J,8,FALSE)</f>
        <v>2.9000000000000001E-2</v>
      </c>
      <c r="K61" s="108">
        <f>K$56*$J61</f>
        <v>0.17226</v>
      </c>
      <c r="L61" s="108">
        <f t="shared" ref="L61:M61" si="4">L$56*$J61</f>
        <v>0.16364700000000001</v>
      </c>
      <c r="M61" s="108">
        <f t="shared" si="4"/>
        <v>0.15503399999999998</v>
      </c>
      <c r="N61" s="108">
        <f>N$56*$J61</f>
        <v>0.13780800000000001</v>
      </c>
      <c r="O61" s="155">
        <f>O$56*$J61</f>
        <v>0.12058199999999999</v>
      </c>
      <c r="P61" s="155"/>
      <c r="Q61" s="155">
        <f>Q$56*$J61</f>
        <v>8.6129999999999998E-2</v>
      </c>
      <c r="R61" s="155"/>
      <c r="S61" s="155"/>
    </row>
    <row r="62" spans="2:22" ht="15" x14ac:dyDescent="0.3">
      <c r="B62" s="84"/>
      <c r="C62" s="84"/>
      <c r="D62" s="84"/>
      <c r="E62" s="84"/>
      <c r="F62" s="84"/>
      <c r="G62" s="84"/>
      <c r="I62" s="107" t="s">
        <v>106</v>
      </c>
      <c r="J62" s="114">
        <f>VLOOKUP(I60,Fees!B:J,9,FALSE)</f>
        <v>0.50600000000000001</v>
      </c>
      <c r="K62" s="108">
        <f>$J62</f>
        <v>0.50600000000000001</v>
      </c>
      <c r="L62" s="108">
        <f>$J62</f>
        <v>0.50600000000000001</v>
      </c>
      <c r="M62" s="108">
        <f t="shared" ref="M62:Q62" si="5">$J62</f>
        <v>0.50600000000000001</v>
      </c>
      <c r="N62" s="108">
        <f t="shared" si="5"/>
        <v>0.50600000000000001</v>
      </c>
      <c r="O62" s="155">
        <f t="shared" si="5"/>
        <v>0.50600000000000001</v>
      </c>
      <c r="P62" s="155"/>
      <c r="Q62" s="155">
        <f t="shared" si="5"/>
        <v>0.50600000000000001</v>
      </c>
      <c r="R62" s="155"/>
      <c r="S62" s="155"/>
    </row>
    <row r="63" spans="2:22" ht="15" x14ac:dyDescent="0.3">
      <c r="B63" s="84"/>
      <c r="C63" s="84"/>
      <c r="D63" s="84"/>
      <c r="E63" s="84"/>
      <c r="F63" s="84"/>
      <c r="G63" s="84"/>
      <c r="I63" s="156" t="s">
        <v>70</v>
      </c>
      <c r="J63" s="156"/>
      <c r="K63" s="113">
        <f>K61+K62</f>
        <v>0.67825999999999997</v>
      </c>
      <c r="L63" s="113">
        <f t="shared" ref="L63:Q63" si="6">L61+L62</f>
        <v>0.66964699999999999</v>
      </c>
      <c r="M63" s="113">
        <f t="shared" si="6"/>
        <v>0.66103400000000001</v>
      </c>
      <c r="N63" s="113">
        <f t="shared" si="6"/>
        <v>0.64380800000000005</v>
      </c>
      <c r="O63" s="157">
        <f t="shared" si="6"/>
        <v>0.62658199999999997</v>
      </c>
      <c r="P63" s="157"/>
      <c r="Q63" s="157">
        <f t="shared" si="6"/>
        <v>0.59213000000000005</v>
      </c>
      <c r="R63" s="157"/>
      <c r="S63" s="157"/>
    </row>
    <row r="64" spans="2:22" ht="15" x14ac:dyDescent="0.3">
      <c r="B64" s="84"/>
      <c r="C64" s="84"/>
      <c r="D64" s="84"/>
      <c r="E64" s="84"/>
      <c r="F64" s="84"/>
      <c r="G64" s="84"/>
      <c r="I64" s="110" t="str">
        <f>"Winst na kosten" &amp;" ("&amp;Input!$C$13&amp;")"</f>
        <v>Winst na kosten (€)</v>
      </c>
      <c r="J64" s="110"/>
      <c r="K64" s="23">
        <f>K$56-K$57-K63</f>
        <v>1.3017399999999997</v>
      </c>
      <c r="L64" s="23">
        <f t="shared" ref="L64:N64" si="7">L$56-L$57-L63</f>
        <v>1.0133529999999999</v>
      </c>
      <c r="M64" s="23">
        <f t="shared" si="7"/>
        <v>0.72496599999999922</v>
      </c>
      <c r="N64" s="23">
        <f t="shared" si="7"/>
        <v>0.14819199999999977</v>
      </c>
      <c r="O64" s="158">
        <f>O$56-O$57-O63</f>
        <v>-0.42858200000000046</v>
      </c>
      <c r="P64" s="158"/>
      <c r="Q64" s="158">
        <f>Q$56-Q$57-Q63</f>
        <v>-1.5821300000000003</v>
      </c>
      <c r="R64" s="158"/>
      <c r="S64" s="158"/>
    </row>
    <row r="65" spans="2:25" ht="15" x14ac:dyDescent="0.3">
      <c r="B65" s="84"/>
      <c r="C65" s="84"/>
      <c r="D65" s="84"/>
      <c r="E65" s="84"/>
      <c r="F65" s="84"/>
      <c r="G65" s="84"/>
      <c r="I65" s="153" t="s">
        <v>39</v>
      </c>
      <c r="J65" s="153"/>
      <c r="K65" s="13"/>
      <c r="L65" s="13"/>
      <c r="M65" s="13"/>
      <c r="N65" s="13"/>
      <c r="O65" s="154"/>
      <c r="P65" s="154"/>
      <c r="Q65" s="159"/>
      <c r="R65" s="159"/>
      <c r="S65" s="159"/>
    </row>
    <row r="66" spans="2:25" ht="15" x14ac:dyDescent="0.3">
      <c r="B66" s="84"/>
      <c r="C66" s="84"/>
      <c r="D66" s="84"/>
      <c r="E66" s="84"/>
      <c r="F66" s="84"/>
      <c r="G66" s="84"/>
      <c r="I66" s="107" t="s">
        <v>105</v>
      </c>
      <c r="J66" s="111">
        <f>VLOOKUP(I65,Fees!B:J,8,FALSE)</f>
        <v>9.5000000000000001E-2</v>
      </c>
      <c r="K66" s="108">
        <f>K$56*$J66</f>
        <v>0.56429999999999991</v>
      </c>
      <c r="L66" s="108">
        <f t="shared" ref="L66:N66" si="8">L$56*$J66</f>
        <v>0.53608500000000003</v>
      </c>
      <c r="M66" s="108">
        <f t="shared" si="8"/>
        <v>0.50786999999999993</v>
      </c>
      <c r="N66" s="108">
        <f t="shared" si="8"/>
        <v>0.45144000000000001</v>
      </c>
      <c r="O66" s="155">
        <f>O$56*$J66</f>
        <v>0.39500999999999997</v>
      </c>
      <c r="P66" s="155"/>
      <c r="Q66" s="155">
        <f>Q$56*$J66</f>
        <v>0.28214999999999996</v>
      </c>
      <c r="R66" s="155"/>
      <c r="S66" s="155"/>
    </row>
    <row r="67" spans="2:25" ht="15" x14ac:dyDescent="0.3">
      <c r="B67" s="84"/>
      <c r="C67" s="84"/>
      <c r="D67" s="84"/>
      <c r="E67" s="84"/>
      <c r="F67" s="84"/>
      <c r="G67" s="84"/>
      <c r="I67" s="107" t="s">
        <v>106</v>
      </c>
      <c r="J67" s="114">
        <f>VLOOKUP(I65,Fees!B:J,9,FALSE)</f>
        <v>0.45</v>
      </c>
      <c r="K67" s="108">
        <f>$J67</f>
        <v>0.45</v>
      </c>
      <c r="L67" s="108">
        <f>$J67</f>
        <v>0.45</v>
      </c>
      <c r="M67" s="108">
        <f t="shared" ref="M67:Q67" si="9">$J67</f>
        <v>0.45</v>
      </c>
      <c r="N67" s="108">
        <f t="shared" si="9"/>
        <v>0.45</v>
      </c>
      <c r="O67" s="155">
        <f t="shared" si="9"/>
        <v>0.45</v>
      </c>
      <c r="P67" s="155"/>
      <c r="Q67" s="155">
        <f t="shared" si="9"/>
        <v>0.45</v>
      </c>
      <c r="R67" s="155"/>
      <c r="S67" s="155"/>
    </row>
    <row r="68" spans="2:25" ht="17.399999999999999" x14ac:dyDescent="0.3">
      <c r="B68" s="84"/>
      <c r="C68" s="84"/>
      <c r="D68" s="84"/>
      <c r="E68" s="84"/>
      <c r="F68" s="84"/>
      <c r="G68" s="84"/>
      <c r="I68" s="156" t="s">
        <v>70</v>
      </c>
      <c r="J68" s="156"/>
      <c r="K68" s="113">
        <f>K66+K67</f>
        <v>1.0143</v>
      </c>
      <c r="L68" s="113">
        <f t="shared" ref="L68" si="10">L66+L67</f>
        <v>0.9860850000000001</v>
      </c>
      <c r="M68" s="113">
        <f t="shared" ref="M68" si="11">M66+M67</f>
        <v>0.95787</v>
      </c>
      <c r="N68" s="113">
        <f t="shared" ref="N68" si="12">N66+N67</f>
        <v>0.90144000000000002</v>
      </c>
      <c r="O68" s="157">
        <f t="shared" ref="O68" si="13">O66+O67</f>
        <v>0.84501000000000004</v>
      </c>
      <c r="P68" s="157"/>
      <c r="Q68" s="157">
        <f t="shared" ref="Q68" si="14">Q66+Q67</f>
        <v>0.73214999999999997</v>
      </c>
      <c r="R68" s="157"/>
      <c r="S68" s="157"/>
      <c r="U68" s="116" t="s">
        <v>150</v>
      </c>
      <c r="X68" s="146" t="s">
        <v>161</v>
      </c>
      <c r="Y68" s="147" t="s">
        <v>99</v>
      </c>
    </row>
    <row r="69" spans="2:25" ht="15" x14ac:dyDescent="0.3">
      <c r="B69" s="84"/>
      <c r="C69" s="84"/>
      <c r="D69" s="84"/>
      <c r="E69" s="84"/>
      <c r="F69" s="84"/>
      <c r="G69" s="84"/>
      <c r="H69" s="21"/>
      <c r="I69" s="110" t="str">
        <f>"Winst na kosten" &amp;" ("&amp;Input!$C$13&amp;")"</f>
        <v>Winst na kosten (€)</v>
      </c>
      <c r="J69" s="110"/>
      <c r="K69" s="23">
        <f>K$56-K$57-K68</f>
        <v>0.96569999999999956</v>
      </c>
      <c r="L69" s="23">
        <f t="shared" ref="L69" si="15">L$56-L$57-L68</f>
        <v>0.69691499999999973</v>
      </c>
      <c r="M69" s="23">
        <f t="shared" ref="M69" si="16">M$56-M$57-M68</f>
        <v>0.42812999999999923</v>
      </c>
      <c r="N69" s="23">
        <f t="shared" ref="N69" si="17">N$56-N$57-N68</f>
        <v>-0.1094400000000002</v>
      </c>
      <c r="O69" s="158">
        <f>O$56-O$57-O68</f>
        <v>-0.64701000000000053</v>
      </c>
      <c r="P69" s="158"/>
      <c r="Q69" s="158">
        <f>Q$56-Q$57-Q68</f>
        <v>-1.7221500000000001</v>
      </c>
      <c r="R69" s="158"/>
      <c r="S69" s="158"/>
      <c r="U69" s="141" t="s">
        <v>151</v>
      </c>
      <c r="V69" s="140" t="s">
        <v>152</v>
      </c>
      <c r="W69" s="142" t="s">
        <v>153</v>
      </c>
      <c r="X69" s="140" t="s">
        <v>162</v>
      </c>
      <c r="Y69" s="143">
        <v>4.1500000000000004</v>
      </c>
    </row>
    <row r="70" spans="2:25" ht="15" x14ac:dyDescent="0.3">
      <c r="B70" s="21"/>
      <c r="C70" s="21"/>
      <c r="D70" s="21"/>
      <c r="E70" s="21"/>
      <c r="F70" s="21"/>
      <c r="G70" s="21"/>
      <c r="H70" s="21"/>
      <c r="I70" s="153" t="s">
        <v>40</v>
      </c>
      <c r="J70" s="153"/>
      <c r="K70" s="13"/>
      <c r="L70" s="13"/>
      <c r="M70" s="13"/>
      <c r="N70" s="13"/>
      <c r="O70" s="154"/>
      <c r="P70" s="154"/>
      <c r="Q70" s="159"/>
      <c r="R70" s="159"/>
      <c r="S70" s="159"/>
      <c r="U70" s="135" t="s">
        <v>58</v>
      </c>
      <c r="V70" s="135" t="s">
        <v>152</v>
      </c>
      <c r="W70" s="135" t="s">
        <v>153</v>
      </c>
      <c r="X70" s="135" t="s">
        <v>154</v>
      </c>
      <c r="Y70" s="135" t="s">
        <v>155</v>
      </c>
    </row>
    <row r="71" spans="2:25" ht="15" x14ac:dyDescent="0.3">
      <c r="B71" s="21"/>
      <c r="C71" s="21"/>
      <c r="D71" s="21"/>
      <c r="E71" s="21"/>
      <c r="F71" s="21"/>
      <c r="G71" s="21"/>
      <c r="H71" s="21"/>
      <c r="I71" s="107" t="s">
        <v>105</v>
      </c>
      <c r="J71" s="111">
        <f>VLOOKUP(I70,Fees!B:J,8,FALSE)</f>
        <v>0.245</v>
      </c>
      <c r="K71" s="108">
        <f>K$56*$J71</f>
        <v>1.4552999999999998</v>
      </c>
      <c r="L71" s="108">
        <f t="shared" ref="L71:M71" si="18">L$56*$J71</f>
        <v>1.3825349999999998</v>
      </c>
      <c r="M71" s="108">
        <f t="shared" si="18"/>
        <v>1.3097699999999999</v>
      </c>
      <c r="N71" s="108">
        <f>N$56*$J71</f>
        <v>1.1642399999999999</v>
      </c>
      <c r="O71" s="155">
        <f>O$56*$J71</f>
        <v>1.0187099999999998</v>
      </c>
      <c r="P71" s="155"/>
      <c r="Q71" s="155">
        <f>Q$56*$J71</f>
        <v>0.72764999999999991</v>
      </c>
      <c r="R71" s="155"/>
      <c r="S71" s="155"/>
      <c r="U71" s="138">
        <v>1</v>
      </c>
      <c r="V71" s="136">
        <f>CEILING(((($K$35-$K$29-$K$30-$K$31-$K$32-$K$33)*U71*1.02 + $K$29+$K$30+$K$31+$K$32+$K$33)+$Y$69+X76+VLOOKUP("Bol.com",Fees!B:J,9,FALSE))/(1-Input!$C$16/(1+Input!$C$16)-VLOOKUP("Bol.com",Fees!B:J,8,FALSE)),0.05)-0.05</f>
        <v>16.75</v>
      </c>
      <c r="W71" s="136">
        <f>CEILING(((($K$35-$K$29-$K$30-$K$31-$K$32-$K$33)*U71*1.02 + $K$29+$K$30+$K$31+$K$32+$K$33)+$Y$69+X76+VLOOKUP("Etsy ",Fees!B:J,9,FALSE))/(1-Input!$C$16/(1+Input!$C$16)-VLOOKUP("Etsy ",Fees!B:J,8,FALSE)),0.05)-0.05</f>
        <v>14.45</v>
      </c>
      <c r="X71" s="136">
        <f>CEILING(((($K$35-$K$29-$K$30-$K$31-$K$32-$K$33)*U71*1.02 + $K$29+$K$30+$K$31+$K$32+$K$33)+X76+VLOOKUP("Shopify Basic",Fees!B:J,9,FALSE))/(1-Input!$C$16/(1+Input!$C$16)-VLOOKUP("Shopify Basic",Fees!B:J,8,FALSE)),0.05)-0.05</f>
        <v>8.15</v>
      </c>
      <c r="Y71" s="144"/>
    </row>
    <row r="72" spans="2:25" ht="15" x14ac:dyDescent="0.3">
      <c r="H72" s="21"/>
      <c r="I72" s="107" t="s">
        <v>106</v>
      </c>
      <c r="J72" s="114">
        <f>VLOOKUP(I70,Fees!B:J,9,FALSE)</f>
        <v>0.45</v>
      </c>
      <c r="K72" s="108">
        <f>$J72</f>
        <v>0.45</v>
      </c>
      <c r="L72" s="108">
        <f>$J72</f>
        <v>0.45</v>
      </c>
      <c r="M72" s="108">
        <f t="shared" ref="M72:Q72" si="19">$J72</f>
        <v>0.45</v>
      </c>
      <c r="N72" s="108">
        <f t="shared" si="19"/>
        <v>0.45</v>
      </c>
      <c r="O72" s="155">
        <f t="shared" si="19"/>
        <v>0.45</v>
      </c>
      <c r="P72" s="155"/>
      <c r="Q72" s="155">
        <f t="shared" si="19"/>
        <v>0.45</v>
      </c>
      <c r="R72" s="155"/>
      <c r="S72" s="155"/>
      <c r="U72" s="138">
        <v>5</v>
      </c>
      <c r="V72" s="136">
        <f>CEILING(((($K$35-$K$29-$K$30-$K$31-$K$32-$K$33)*U72*1.02 + $K$29+$K$30+$K$31+$K$32+$K$33)+$Y$69+X77+VLOOKUP("Bol.com",Fees!B:J,9,FALSE))/(1-Input!$C$16/(1+Input!$C$16)-VLOOKUP("Bol.com",Fees!B:J,8,FALSE)),0.05)-0.05</f>
        <v>33.050000000000004</v>
      </c>
      <c r="W72" s="136">
        <f>CEILING(((($K$35-$K$29-$K$30-$K$31-$K$32-$K$33)*U72*1.02 + $K$29+$K$30+$K$31+$K$32+$K$33)+$Y$69+X77+VLOOKUP("Etsy ",Fees!B:J,9,FALSE))/(1-Input!$C$16/(1+Input!$C$16)-VLOOKUP("Etsy ",Fees!B:J,8,FALSE)),0.05)-0.05</f>
        <v>29.55</v>
      </c>
      <c r="X72" s="136">
        <f>CEILING(((($K$35-$K$29-$K$30-$K$31-$K$32-$K$33)*U72*1.02 + $K$29+$K$30+$K$31+$K$32+$K$33)+X77+VLOOKUP("Shopify Basic",Fees!B:J,9,FALSE))/(1-Input!$C$16/(1+Input!$C$16)-VLOOKUP("Shopify Basic",Fees!B:J,8,FALSE)),0.05)-0.05</f>
        <v>21.95</v>
      </c>
      <c r="Y72" s="137">
        <f>V72/U72</f>
        <v>6.6100000000000012</v>
      </c>
    </row>
    <row r="73" spans="2:25" ht="15" x14ac:dyDescent="0.3">
      <c r="H73" s="21"/>
      <c r="I73" s="156" t="s">
        <v>70</v>
      </c>
      <c r="J73" s="156"/>
      <c r="K73" s="113">
        <f>K71+K72</f>
        <v>1.9052999999999998</v>
      </c>
      <c r="L73" s="113">
        <f t="shared" ref="L73" si="20">L71+L72</f>
        <v>1.8325349999999998</v>
      </c>
      <c r="M73" s="113">
        <f t="shared" ref="M73" si="21">M71+M72</f>
        <v>1.7597699999999998</v>
      </c>
      <c r="N73" s="113">
        <f t="shared" ref="N73" si="22">N71+N72</f>
        <v>1.6142399999999999</v>
      </c>
      <c r="O73" s="157">
        <f t="shared" ref="O73" si="23">O71+O72</f>
        <v>1.4687099999999997</v>
      </c>
      <c r="P73" s="157"/>
      <c r="Q73" s="157">
        <f t="shared" ref="Q73" si="24">Q71+Q72</f>
        <v>1.1776499999999999</v>
      </c>
      <c r="R73" s="157"/>
      <c r="S73" s="157"/>
      <c r="U73" s="138">
        <v>10</v>
      </c>
      <c r="V73" s="136">
        <f>CEILING(((($K$35-$K$29-$K$30-$K$31-$K$32-$K$33)*U73*1.02 + $K$29+$K$30+$K$31+$K$32+$K$33)+$Y$69+X78+VLOOKUP("Bol.com",Fees!B:J,9,FALSE))/(1-Input!$C$16/(1+Input!$C$16)-VLOOKUP("Bol.com",Fees!B:J,8,FALSE)),0.05)-0.05</f>
        <v>52.300000000000004</v>
      </c>
      <c r="W73" s="136">
        <f>CEILING(((($K$35-$K$29-$K$30-$K$31-$K$32-$K$33)*U73*1.02 + $K$29+$K$30+$K$31+$K$32+$K$33)+$Y$69+X78+VLOOKUP("Etsy ",Fees!B:J,9,FALSE))/(1-Input!$C$16/(1+Input!$C$16)-VLOOKUP("Etsy ",Fees!B:J,8,FALSE)),0.05)-0.05</f>
        <v>47.350000000000009</v>
      </c>
      <c r="X73" s="136">
        <f>CEILING(((($K$35-$K$29-$K$30-$K$31-$K$32-$K$33)*U73*1.02 + $K$29+$K$30+$K$31+$K$32+$K$33)+X78+VLOOKUP("Shopify Basic",Fees!B:J,9,FALSE))/(1-Input!$C$16/(1+Input!$C$16)-VLOOKUP("Shopify Basic",Fees!B:J,8,FALSE)),0.05)-0.05</f>
        <v>38.300000000000004</v>
      </c>
      <c r="Y73" s="137">
        <f>V73/U73</f>
        <v>5.23</v>
      </c>
    </row>
    <row r="74" spans="2:25" ht="15" x14ac:dyDescent="0.3">
      <c r="H74" s="21"/>
      <c r="I74" s="110" t="str">
        <f>"Winst na kosten" &amp;" ("&amp;Input!$C$13&amp;")"</f>
        <v>Winst na kosten (€)</v>
      </c>
      <c r="J74" s="110"/>
      <c r="K74" s="23">
        <f>K$56-K$57-K73</f>
        <v>7.4699999999999767E-2</v>
      </c>
      <c r="L74" s="23">
        <f t="shared" ref="L74" si="25">L$56-L$57-L73</f>
        <v>-0.14953499999999997</v>
      </c>
      <c r="M74" s="23">
        <f t="shared" ref="M74" si="26">M$56-M$57-M73</f>
        <v>-0.3737700000000006</v>
      </c>
      <c r="N74" s="23">
        <f t="shared" ref="N74" si="27">N$56-N$57-N73</f>
        <v>-0.82224000000000008</v>
      </c>
      <c r="O74" s="158">
        <f>O$56-O$57-O73</f>
        <v>-1.2707100000000002</v>
      </c>
      <c r="P74" s="158"/>
      <c r="Q74" s="158">
        <f>Q$56-Q$57-Q73</f>
        <v>-2.1676500000000001</v>
      </c>
      <c r="R74" s="158"/>
      <c r="S74" s="158"/>
    </row>
    <row r="75" spans="2:25" x14ac:dyDescent="0.3">
      <c r="I75" s="153" t="s">
        <v>137</v>
      </c>
      <c r="J75" s="153"/>
      <c r="K75" s="13"/>
      <c r="L75" s="13"/>
      <c r="M75" s="13"/>
      <c r="N75" s="13"/>
      <c r="O75" s="154"/>
      <c r="P75" s="154"/>
      <c r="Q75" s="115"/>
      <c r="U75" s="145" t="s">
        <v>156</v>
      </c>
      <c r="W75" t="s">
        <v>163</v>
      </c>
    </row>
    <row r="76" spans="2:25" x14ac:dyDescent="0.3">
      <c r="I76" s="107" t="s">
        <v>105</v>
      </c>
      <c r="J76" s="111">
        <f>VLOOKUP(I75,Fees!B:J,8,FALSE)</f>
        <v>0.15</v>
      </c>
      <c r="K76" s="108">
        <f>(K$56+$J$80)*$J76</f>
        <v>0.8909999999999999</v>
      </c>
      <c r="L76" s="108">
        <f>(L$56+$J$80)*$J76</f>
        <v>0.84644999999999992</v>
      </c>
      <c r="M76" s="108">
        <f>(M$56+$J$80)*$J76</f>
        <v>0.80189999999999984</v>
      </c>
      <c r="N76" s="108">
        <f>(N$56+$J$80)*$J76</f>
        <v>0.71279999999999999</v>
      </c>
      <c r="O76" s="155">
        <f>(O$56+$J$80)*$J76</f>
        <v>0.62369999999999992</v>
      </c>
      <c r="P76" s="155"/>
      <c r="Q76" s="108">
        <f>(Q$56+$J$80)*$J76</f>
        <v>0.44549999999999995</v>
      </c>
      <c r="U76" s="139" t="s">
        <v>157</v>
      </c>
      <c r="W76" t="s">
        <v>164</v>
      </c>
      <c r="X76">
        <v>2</v>
      </c>
    </row>
    <row r="77" spans="2:25" x14ac:dyDescent="0.3">
      <c r="I77" s="107" t="s">
        <v>106</v>
      </c>
      <c r="J77" s="114">
        <f>VLOOKUP(I75,Fees!B:J,9,FALSE)</f>
        <v>1.2</v>
      </c>
      <c r="K77" s="108">
        <f>$J77</f>
        <v>1.2</v>
      </c>
      <c r="L77" s="108">
        <f>$J77</f>
        <v>1.2</v>
      </c>
      <c r="M77" s="108">
        <f>$J77</f>
        <v>1.2</v>
      </c>
      <c r="N77" s="108">
        <f>$J77</f>
        <v>1.2</v>
      </c>
      <c r="O77" s="155">
        <f>$J77</f>
        <v>1.2</v>
      </c>
      <c r="P77" s="155"/>
      <c r="Q77" s="108">
        <f>$J77</f>
        <v>1.2</v>
      </c>
      <c r="U77" s="140" t="s">
        <v>158</v>
      </c>
      <c r="W77" t="s">
        <v>165</v>
      </c>
      <c r="X77">
        <v>5</v>
      </c>
    </row>
    <row r="78" spans="2:25" x14ac:dyDescent="0.3">
      <c r="B78" s="150" t="s">
        <v>168</v>
      </c>
      <c r="I78" s="156" t="s">
        <v>70</v>
      </c>
      <c r="J78" s="156"/>
      <c r="K78" s="113">
        <f>K76+K77</f>
        <v>2.0909999999999997</v>
      </c>
      <c r="L78" s="113">
        <f>L76+L77</f>
        <v>2.0464500000000001</v>
      </c>
      <c r="M78" s="113">
        <f>M76+M77</f>
        <v>2.0019</v>
      </c>
      <c r="N78" s="113">
        <f>N76+N77</f>
        <v>1.9127999999999998</v>
      </c>
      <c r="O78" s="157">
        <f>O76+O77</f>
        <v>1.8236999999999999</v>
      </c>
      <c r="P78" s="157"/>
      <c r="Q78" s="113">
        <f>Q76+Q77</f>
        <v>1.6455</v>
      </c>
      <c r="U78" s="140" t="s">
        <v>159</v>
      </c>
      <c r="W78" t="s">
        <v>166</v>
      </c>
      <c r="X78">
        <v>8</v>
      </c>
    </row>
    <row r="79" spans="2:25" ht="15" x14ac:dyDescent="0.3">
      <c r="B79" t="s">
        <v>169</v>
      </c>
      <c r="C79" s="151">
        <v>10</v>
      </c>
      <c r="D79" t="s">
        <v>170</v>
      </c>
      <c r="E79" s="151">
        <v>281</v>
      </c>
      <c r="F79" t="s">
        <v>171</v>
      </c>
      <c r="G79" s="151">
        <v>8</v>
      </c>
      <c r="H79" t="s">
        <v>172</v>
      </c>
      <c r="I79" s="152">
        <v>34</v>
      </c>
      <c r="J79" s="110"/>
      <c r="K79" s="23">
        <f>(K$56+$J$80)-K$57-K78-$J$80</f>
        <v>-0.11100000000000021</v>
      </c>
      <c r="L79" s="23">
        <f>(L$56+$J$80)-L$57-L78-$J$80</f>
        <v>-0.36345000000000027</v>
      </c>
      <c r="M79" s="23">
        <f>(M$56+$J$80)-M$57-M78-$J$80</f>
        <v>-0.61590000000000078</v>
      </c>
      <c r="N79" s="23">
        <f>(N$56+$J$80)-N$57-N78-$J$80</f>
        <v>-1.1208</v>
      </c>
      <c r="O79" s="158">
        <f>(O$56+$J$80)-O$57-O78-$J$80</f>
        <v>-1.6257000000000004</v>
      </c>
      <c r="P79" s="158"/>
      <c r="Q79" s="23">
        <f>(Q$56+$J$80)-Q$57-Q78-$J$80</f>
        <v>-2.6355000000000004</v>
      </c>
      <c r="U79" s="140" t="s">
        <v>160</v>
      </c>
    </row>
  </sheetData>
  <mergeCells count="130">
    <mergeCell ref="I33:J33"/>
    <mergeCell ref="B10:C11"/>
    <mergeCell ref="D10:D11"/>
    <mergeCell ref="D38:D39"/>
    <mergeCell ref="I55:J55"/>
    <mergeCell ref="I35:J35"/>
    <mergeCell ref="B31:C31"/>
    <mergeCell ref="B32:C32"/>
    <mergeCell ref="B26:C26"/>
    <mergeCell ref="E38:E39"/>
    <mergeCell ref="B34:E34"/>
    <mergeCell ref="I28:J28"/>
    <mergeCell ref="I29:J29"/>
    <mergeCell ref="I30:J30"/>
    <mergeCell ref="I31:J31"/>
    <mergeCell ref="I34:J34"/>
    <mergeCell ref="B49:D49"/>
    <mergeCell ref="F45:G45"/>
    <mergeCell ref="I53:S53"/>
    <mergeCell ref="B54:D55"/>
    <mergeCell ref="E54:E55"/>
    <mergeCell ref="Q54:S54"/>
    <mergeCell ref="Q55:S55"/>
    <mergeCell ref="B33:C33"/>
    <mergeCell ref="F3:K4"/>
    <mergeCell ref="U26:U27"/>
    <mergeCell ref="Q7:S8"/>
    <mergeCell ref="F7:H8"/>
    <mergeCell ref="I7:M8"/>
    <mergeCell ref="B24:G24"/>
    <mergeCell ref="B21:M21"/>
    <mergeCell ref="K25:L25"/>
    <mergeCell ref="D7:D8"/>
    <mergeCell ref="B7:C8"/>
    <mergeCell ref="O7:P8"/>
    <mergeCell ref="N26:Q26"/>
    <mergeCell ref="N27:Q27"/>
    <mergeCell ref="I24:L24"/>
    <mergeCell ref="I18:K18"/>
    <mergeCell ref="I19:K19"/>
    <mergeCell ref="I25:J25"/>
    <mergeCell ref="I26:J26"/>
    <mergeCell ref="I27:J27"/>
    <mergeCell ref="I16:K16"/>
    <mergeCell ref="I17:K17"/>
    <mergeCell ref="D15:G15"/>
    <mergeCell ref="D16:G16"/>
    <mergeCell ref="D17:G17"/>
    <mergeCell ref="V26:V27"/>
    <mergeCell ref="U28:U29"/>
    <mergeCell ref="V28:V29"/>
    <mergeCell ref="U30:U31"/>
    <mergeCell ref="V30:V31"/>
    <mergeCell ref="B13:S13"/>
    <mergeCell ref="R25:S25"/>
    <mergeCell ref="N24:S24"/>
    <mergeCell ref="N25:Q25"/>
    <mergeCell ref="B28:C28"/>
    <mergeCell ref="B29:C29"/>
    <mergeCell ref="B30:C30"/>
    <mergeCell ref="F25:G25"/>
    <mergeCell ref="B27:C27"/>
    <mergeCell ref="D18:G18"/>
    <mergeCell ref="D19:G19"/>
    <mergeCell ref="D20:G20"/>
    <mergeCell ref="B25:C25"/>
    <mergeCell ref="I20:K20"/>
    <mergeCell ref="D14:G14"/>
    <mergeCell ref="I14:K14"/>
    <mergeCell ref="I15:K15"/>
    <mergeCell ref="N28:Q28"/>
    <mergeCell ref="N29:Q29"/>
    <mergeCell ref="B58:D58"/>
    <mergeCell ref="B53:G53"/>
    <mergeCell ref="B56:D56"/>
    <mergeCell ref="B57:D57"/>
    <mergeCell ref="B37:G37"/>
    <mergeCell ref="B43:D43"/>
    <mergeCell ref="I60:J60"/>
    <mergeCell ref="I63:J63"/>
    <mergeCell ref="O54:P54"/>
    <mergeCell ref="Q58:S58"/>
    <mergeCell ref="Q59:S59"/>
    <mergeCell ref="Q60:S60"/>
    <mergeCell ref="Q61:S61"/>
    <mergeCell ref="Q62:S62"/>
    <mergeCell ref="Q63:S63"/>
    <mergeCell ref="Q64:S64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Q56:S56"/>
    <mergeCell ref="Q57:S57"/>
    <mergeCell ref="Q71:S71"/>
    <mergeCell ref="Q72:S72"/>
    <mergeCell ref="I73:J73"/>
    <mergeCell ref="O65:P65"/>
    <mergeCell ref="O66:P66"/>
    <mergeCell ref="O67:P67"/>
    <mergeCell ref="O68:P68"/>
    <mergeCell ref="O69:P69"/>
    <mergeCell ref="O70:P70"/>
    <mergeCell ref="O71:P71"/>
    <mergeCell ref="O72:P72"/>
    <mergeCell ref="O73:P73"/>
    <mergeCell ref="I65:J65"/>
    <mergeCell ref="Q65:S65"/>
    <mergeCell ref="Q66:S66"/>
    <mergeCell ref="Q67:S67"/>
    <mergeCell ref="I68:J68"/>
    <mergeCell ref="Q68:S68"/>
    <mergeCell ref="Q69:S69"/>
    <mergeCell ref="I70:J70"/>
    <mergeCell ref="Q70:S70"/>
    <mergeCell ref="I75:J75"/>
    <mergeCell ref="O75:P75"/>
    <mergeCell ref="O76:P76"/>
    <mergeCell ref="O77:P77"/>
    <mergeCell ref="I78:J78"/>
    <mergeCell ref="O78:P78"/>
    <mergeCell ref="O79:P79"/>
    <mergeCell ref="Q73:S73"/>
    <mergeCell ref="Q74:S74"/>
    <mergeCell ref="O74:P74"/>
  </mergeCells>
  <conditionalFormatting sqref="K59:O59 Q59 K64:O64 Q64">
    <cfRule type="cellIs" dxfId="3" priority="16" operator="lessThan">
      <formula>0</formula>
    </cfRule>
  </conditionalFormatting>
  <conditionalFormatting sqref="K69:O69 Q69">
    <cfRule type="cellIs" dxfId="2" priority="3" operator="lessThan">
      <formula>0</formula>
    </cfRule>
  </conditionalFormatting>
  <conditionalFormatting sqref="K74:O74 Q74">
    <cfRule type="cellIs" dxfId="1" priority="2" operator="lessThan">
      <formula>0</formula>
    </cfRule>
  </conditionalFormatting>
  <conditionalFormatting sqref="K79:O79 Q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O21 P21:R21 F26:F32 R16:R20 P16:P20" 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56BEC9-FDD7-4B67-8AFC-89DB33500966}">
          <x14:formula1>
            <xm:f>Fees!$B$10:$B$19</xm:f>
          </x14:formula1>
          <xm:sqref>I60 I65 I70</xm:sqref>
        </x14:dataValidation>
        <x14:dataValidation type="list" allowBlank="1" showInputMessage="1" showErrorMessage="1" xr:uid="{7D35EE7F-ABEA-4591-B3AB-291A9480886F}">
          <x14:formula1>
            <xm:f>Printers!$B$10:$B$27</xm:f>
          </x14:formula1>
          <xm:sqref>I15:K20</xm:sqref>
        </x14:dataValidation>
        <x14:dataValidation type="list" allowBlank="1" showInputMessage="1" showErrorMessage="1" xr:uid="{01FCE943-3DF8-4E32-9112-879A158129DA}">
          <x14:formula1>
            <xm:f>Materials!$C$10:$C$40</xm:f>
          </x14:formula1>
          <xm:sqref>D15:G20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456C-CB2E-4EE3-B662-C19AF8E1BC0E}">
  <dimension ref="B3:J32"/>
  <sheetViews>
    <sheetView zoomScaleNormal="100" workbookViewId="0">
      <selection activeCell="C19" sqref="C19"/>
    </sheetView>
  </sheetViews>
  <sheetFormatPr defaultColWidth="8.6640625" defaultRowHeight="14.4" x14ac:dyDescent="0.3"/>
  <cols>
    <col min="1" max="1" width="9.6640625" style="38" customWidth="1"/>
    <col min="2" max="2" width="24.44140625" style="38" customWidth="1"/>
    <col min="3" max="3" width="11.6640625" style="38" customWidth="1"/>
    <col min="4" max="4" width="14.5546875" style="38" customWidth="1"/>
    <col min="5" max="16384" width="8.6640625" style="38"/>
  </cols>
  <sheetData>
    <row r="3" spans="2:10" x14ac:dyDescent="0.3">
      <c r="E3" s="247"/>
      <c r="F3" s="247"/>
      <c r="G3" s="247"/>
      <c r="H3" s="247"/>
      <c r="I3" s="247"/>
      <c r="J3" s="247"/>
    </row>
    <row r="4" spans="2:10" x14ac:dyDescent="0.3">
      <c r="E4" s="247"/>
      <c r="F4" s="247"/>
      <c r="G4" s="247"/>
      <c r="H4" s="247"/>
      <c r="I4" s="247"/>
      <c r="J4" s="247"/>
    </row>
    <row r="8" spans="2:10" ht="30" customHeight="1" x14ac:dyDescent="0.3">
      <c r="B8" s="166" t="s">
        <v>107</v>
      </c>
      <c r="C8" s="166"/>
      <c r="D8" s="166"/>
    </row>
    <row r="9" spans="2:10" ht="20.100000000000001" customHeight="1" x14ac:dyDescent="0.3">
      <c r="B9" s="4" t="s">
        <v>4</v>
      </c>
      <c r="C9" s="4" t="s">
        <v>71</v>
      </c>
      <c r="D9" s="4" t="s">
        <v>108</v>
      </c>
    </row>
    <row r="10" spans="2:10" ht="16.5" customHeight="1" x14ac:dyDescent="0.3">
      <c r="B10" s="39" t="s">
        <v>109</v>
      </c>
      <c r="C10" s="40">
        <v>0.21</v>
      </c>
      <c r="D10" s="62" t="str">
        <f>$C$13&amp;"/kWh"</f>
        <v>€/kWh</v>
      </c>
    </row>
    <row r="11" spans="2:10" ht="16.5" customHeight="1" x14ac:dyDescent="0.3">
      <c r="B11" s="39" t="s">
        <v>110</v>
      </c>
      <c r="C11" s="40">
        <v>20</v>
      </c>
      <c r="D11" s="62" t="str">
        <f>$C$13&amp;"/h"</f>
        <v>€/h</v>
      </c>
    </row>
    <row r="12" spans="2:10" ht="16.5" customHeight="1" x14ac:dyDescent="0.3">
      <c r="B12" s="39" t="s">
        <v>111</v>
      </c>
      <c r="C12" s="40">
        <v>2</v>
      </c>
      <c r="D12" s="62" t="s">
        <v>3</v>
      </c>
    </row>
    <row r="13" spans="2:10" ht="16.5" customHeight="1" x14ac:dyDescent="0.3">
      <c r="B13" s="39" t="s">
        <v>112</v>
      </c>
      <c r="C13" s="40" t="s">
        <v>136</v>
      </c>
      <c r="D13" s="62" t="s">
        <v>114</v>
      </c>
    </row>
    <row r="14" spans="2:10" ht="16.5" customHeight="1" x14ac:dyDescent="0.3">
      <c r="B14" s="39" t="s">
        <v>113</v>
      </c>
      <c r="C14" s="40">
        <v>100</v>
      </c>
      <c r="D14" s="62" t="s">
        <v>115</v>
      </c>
    </row>
    <row r="15" spans="2:10" ht="16.5" customHeight="1" x14ac:dyDescent="0.3">
      <c r="B15" s="39" t="s">
        <v>85</v>
      </c>
      <c r="C15" s="40">
        <v>50</v>
      </c>
      <c r="D15" s="62" t="str">
        <f>$C$13</f>
        <v>€</v>
      </c>
    </row>
    <row r="16" spans="2:10" ht="16.5" customHeight="1" x14ac:dyDescent="0.3">
      <c r="B16" s="122" t="s">
        <v>141</v>
      </c>
      <c r="C16" s="123">
        <v>0.21</v>
      </c>
      <c r="D16" s="124" t="s">
        <v>3</v>
      </c>
    </row>
    <row r="17" spans="2:4" ht="16.5" customHeight="1" x14ac:dyDescent="0.3">
      <c r="B17" s="41"/>
      <c r="C17" s="41"/>
      <c r="D17" s="41"/>
    </row>
    <row r="18" spans="2:4" ht="16.5" customHeight="1" x14ac:dyDescent="0.3">
      <c r="B18" s="41"/>
      <c r="C18" s="41"/>
      <c r="D18" s="41"/>
    </row>
    <row r="19" spans="2:4" ht="16.5" customHeight="1" x14ac:dyDescent="0.3">
      <c r="B19" s="41"/>
      <c r="C19" s="41"/>
      <c r="D19" s="41"/>
    </row>
    <row r="20" spans="2:4" ht="16.5" customHeight="1" x14ac:dyDescent="0.3">
      <c r="B20" s="41"/>
      <c r="C20" s="41"/>
      <c r="D20" s="41"/>
    </row>
    <row r="21" spans="2:4" ht="16.5" customHeight="1" x14ac:dyDescent="0.3">
      <c r="B21" s="41"/>
      <c r="C21" s="41"/>
      <c r="D21" s="41"/>
    </row>
    <row r="22" spans="2:4" ht="16.5" customHeight="1" x14ac:dyDescent="0.3">
      <c r="B22" s="41"/>
      <c r="C22" s="41"/>
      <c r="D22" s="41"/>
    </row>
    <row r="23" spans="2:4" ht="16.5" customHeight="1" x14ac:dyDescent="0.3">
      <c r="B23" s="41"/>
      <c r="C23" s="41"/>
      <c r="D23" s="41"/>
    </row>
    <row r="24" spans="2:4" ht="16.5" customHeight="1" x14ac:dyDescent="0.3">
      <c r="B24" s="41"/>
      <c r="C24" s="41"/>
      <c r="D24" s="41"/>
    </row>
    <row r="25" spans="2:4" ht="16.5" customHeight="1" x14ac:dyDescent="0.3">
      <c r="B25" s="41"/>
      <c r="C25" s="41"/>
      <c r="D25" s="41"/>
    </row>
    <row r="26" spans="2:4" ht="16.5" customHeight="1" x14ac:dyDescent="0.3">
      <c r="B26" s="41"/>
      <c r="C26" s="41"/>
      <c r="D26" s="41"/>
    </row>
    <row r="27" spans="2:4" ht="16.5" customHeight="1" x14ac:dyDescent="0.3">
      <c r="B27" s="41"/>
      <c r="C27" s="41"/>
      <c r="D27" s="41"/>
    </row>
    <row r="28" spans="2:4" ht="16.5" customHeight="1" x14ac:dyDescent="0.3">
      <c r="B28" s="41"/>
      <c r="C28" s="41"/>
      <c r="D28" s="41"/>
    </row>
    <row r="29" spans="2:4" ht="16.5" customHeight="1" x14ac:dyDescent="0.3"/>
    <row r="30" spans="2:4" ht="16.5" customHeight="1" x14ac:dyDescent="0.3"/>
    <row r="31" spans="2:4" ht="16.5" customHeight="1" x14ac:dyDescent="0.3"/>
    <row r="32" spans="2:4" ht="16.5" customHeight="1" x14ac:dyDescent="0.3"/>
  </sheetData>
  <mergeCells count="2">
    <mergeCell ref="E3:J4"/>
    <mergeCell ref="B8:D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9BC5-97D2-44A9-9388-9240A3C3966B}">
  <dimension ref="B3:M71"/>
  <sheetViews>
    <sheetView zoomScaleNormal="100" workbookViewId="0">
      <selection activeCell="E45" sqref="E45"/>
    </sheetView>
  </sheetViews>
  <sheetFormatPr defaultColWidth="8.6640625" defaultRowHeight="14.4" x14ac:dyDescent="0.3"/>
  <cols>
    <col min="1" max="1" width="9.6640625" style="38" customWidth="1"/>
    <col min="2" max="2" width="33.33203125" style="38" customWidth="1"/>
    <col min="3" max="3" width="11.5546875" style="38" bestFit="1" customWidth="1"/>
    <col min="4" max="4" width="2.6640625" style="66" customWidth="1"/>
    <col min="5" max="5" width="18.33203125" style="38" customWidth="1"/>
    <col min="6" max="6" width="2.6640625" style="66" customWidth="1"/>
    <col min="7" max="7" width="29.44140625" style="38" customWidth="1"/>
    <col min="8" max="8" width="19.6640625" style="38" customWidth="1"/>
    <col min="9" max="9" width="2.6640625" style="66" customWidth="1"/>
    <col min="10" max="10" width="26.5546875" style="38" customWidth="1"/>
    <col min="11" max="16384" width="8.6640625" style="38"/>
  </cols>
  <sheetData>
    <row r="3" spans="2:13" x14ac:dyDescent="0.3">
      <c r="G3" s="247"/>
      <c r="H3" s="247"/>
      <c r="I3" s="247"/>
      <c r="J3" s="247"/>
      <c r="K3" s="247"/>
      <c r="L3" s="247"/>
      <c r="M3" s="247"/>
    </row>
    <row r="4" spans="2:13" x14ac:dyDescent="0.3">
      <c r="G4" s="247"/>
      <c r="H4" s="247"/>
      <c r="I4" s="247"/>
      <c r="J4" s="247"/>
      <c r="K4" s="247"/>
      <c r="L4" s="247"/>
      <c r="M4" s="247"/>
    </row>
    <row r="8" spans="2:13" ht="30" customHeight="1" x14ac:dyDescent="0.3">
      <c r="B8" s="166" t="s">
        <v>11</v>
      </c>
      <c r="C8" s="166"/>
      <c r="D8" s="166"/>
      <c r="E8" s="166"/>
      <c r="F8" s="166"/>
      <c r="G8" s="166"/>
      <c r="H8" s="166"/>
      <c r="I8" s="166"/>
      <c r="J8" s="166"/>
    </row>
    <row r="9" spans="2:13" ht="37.950000000000003" customHeight="1" x14ac:dyDescent="0.3">
      <c r="B9" s="5" t="s">
        <v>116</v>
      </c>
      <c r="C9" s="5" t="s">
        <v>117</v>
      </c>
      <c r="D9" s="5"/>
      <c r="E9" s="5" t="s">
        <v>118</v>
      </c>
      <c r="F9" s="5"/>
      <c r="G9" s="5" t="s">
        <v>119</v>
      </c>
      <c r="H9" s="5" t="s">
        <v>120</v>
      </c>
      <c r="I9" s="5"/>
      <c r="J9" s="5" t="s">
        <v>121</v>
      </c>
    </row>
    <row r="10" spans="2:13" ht="16.5" customHeight="1" x14ac:dyDescent="0.3">
      <c r="B10" s="35" t="s">
        <v>17</v>
      </c>
      <c r="C10" s="64">
        <v>1450</v>
      </c>
      <c r="D10" s="67" t="str">
        <f>Input!$C$13</f>
        <v>€</v>
      </c>
      <c r="E10" s="64">
        <v>400</v>
      </c>
      <c r="F10" s="67" t="str">
        <f>Input!$C$13</f>
        <v>€</v>
      </c>
      <c r="G10" s="35">
        <v>5000</v>
      </c>
      <c r="H10" s="65">
        <f>IFERROR((C10+E10)/G10,"-")</f>
        <v>0.37</v>
      </c>
      <c r="I10" s="70" t="str">
        <f>Input!$C$13</f>
        <v>€</v>
      </c>
      <c r="J10" s="36">
        <v>250</v>
      </c>
    </row>
    <row r="11" spans="2:13" ht="16.5" customHeight="1" x14ac:dyDescent="0.3">
      <c r="B11" s="35" t="s">
        <v>6</v>
      </c>
      <c r="C11" s="64">
        <v>1200</v>
      </c>
      <c r="D11" s="67" t="str">
        <f>Input!$C$13</f>
        <v>€</v>
      </c>
      <c r="E11" s="64">
        <v>350</v>
      </c>
      <c r="F11" s="67" t="str">
        <f>Input!$C$13</f>
        <v>€</v>
      </c>
      <c r="G11" s="35">
        <v>5000</v>
      </c>
      <c r="H11" s="65">
        <f t="shared" ref="H11:H20" si="0">IFERROR((C11+E11)/G11,"-")</f>
        <v>0.31</v>
      </c>
      <c r="I11" s="70" t="str">
        <f>Input!$C$13</f>
        <v>€</v>
      </c>
      <c r="J11" s="36">
        <v>250</v>
      </c>
    </row>
    <row r="12" spans="2:13" ht="16.5" customHeight="1" x14ac:dyDescent="0.3">
      <c r="B12" s="35" t="s">
        <v>18</v>
      </c>
      <c r="C12" s="64">
        <v>950</v>
      </c>
      <c r="D12" s="67" t="str">
        <f>Input!$C$13</f>
        <v>€</v>
      </c>
      <c r="E12" s="64">
        <v>400</v>
      </c>
      <c r="F12" s="67" t="str">
        <f>Input!$C$13</f>
        <v>€</v>
      </c>
      <c r="G12" s="35">
        <v>5000</v>
      </c>
      <c r="H12" s="65">
        <f t="shared" si="0"/>
        <v>0.27</v>
      </c>
      <c r="I12" s="70" t="str">
        <f>Input!$C$13</f>
        <v>€</v>
      </c>
      <c r="J12" s="37">
        <v>250</v>
      </c>
    </row>
    <row r="13" spans="2:13" ht="16.5" customHeight="1" x14ac:dyDescent="0.3">
      <c r="B13" s="35" t="s">
        <v>19</v>
      </c>
      <c r="C13" s="64">
        <v>700</v>
      </c>
      <c r="D13" s="67" t="str">
        <f>Input!$C$13</f>
        <v>€</v>
      </c>
      <c r="E13" s="64">
        <v>350</v>
      </c>
      <c r="F13" s="67" t="str">
        <f>Input!$C$13</f>
        <v>€</v>
      </c>
      <c r="G13" s="35">
        <v>5000</v>
      </c>
      <c r="H13" s="65">
        <f t="shared" si="0"/>
        <v>0.21</v>
      </c>
      <c r="I13" s="70" t="str">
        <f>Input!$C$13</f>
        <v>€</v>
      </c>
      <c r="J13" s="35">
        <v>150</v>
      </c>
    </row>
    <row r="14" spans="2:13" ht="16.5" customHeight="1" x14ac:dyDescent="0.3">
      <c r="B14" s="35" t="s">
        <v>12</v>
      </c>
      <c r="C14" s="64">
        <v>550</v>
      </c>
      <c r="D14" s="67" t="str">
        <f>Input!$C$13</f>
        <v>€</v>
      </c>
      <c r="E14" s="64">
        <v>350</v>
      </c>
      <c r="F14" s="67" t="str">
        <f>Input!$C$13</f>
        <v>€</v>
      </c>
      <c r="G14" s="35">
        <v>5000</v>
      </c>
      <c r="H14" s="65">
        <f t="shared" si="0"/>
        <v>0.18</v>
      </c>
      <c r="I14" s="70" t="str">
        <f>Input!$C$13</f>
        <v>€</v>
      </c>
      <c r="J14" s="35">
        <v>180</v>
      </c>
    </row>
    <row r="15" spans="2:13" ht="16.5" customHeight="1" x14ac:dyDescent="0.3">
      <c r="B15" s="35" t="s">
        <v>20</v>
      </c>
      <c r="C15" s="64">
        <v>560</v>
      </c>
      <c r="D15" s="67" t="str">
        <f>Input!$C$13</f>
        <v>€</v>
      </c>
      <c r="E15" s="64">
        <v>250</v>
      </c>
      <c r="F15" s="67" t="str">
        <f>Input!$C$13</f>
        <v>€</v>
      </c>
      <c r="G15" s="35">
        <v>3000</v>
      </c>
      <c r="H15" s="65">
        <f t="shared" si="0"/>
        <v>0.27</v>
      </c>
      <c r="I15" s="70" t="str">
        <f>Input!$C$13</f>
        <v>€</v>
      </c>
      <c r="J15" s="35">
        <v>120</v>
      </c>
    </row>
    <row r="16" spans="2:13" ht="16.5" customHeight="1" x14ac:dyDescent="0.3">
      <c r="B16" s="35" t="s">
        <v>13</v>
      </c>
      <c r="C16" s="64">
        <v>400</v>
      </c>
      <c r="D16" s="67" t="str">
        <f>Input!$C$13</f>
        <v>€</v>
      </c>
      <c r="E16" s="64">
        <v>200</v>
      </c>
      <c r="F16" s="67" t="str">
        <f>Input!$C$13</f>
        <v>€</v>
      </c>
      <c r="G16" s="35">
        <v>3000</v>
      </c>
      <c r="H16" s="65">
        <f t="shared" si="0"/>
        <v>0.2</v>
      </c>
      <c r="I16" s="70" t="str">
        <f>Input!$C$13</f>
        <v>€</v>
      </c>
      <c r="J16" s="35">
        <v>120</v>
      </c>
    </row>
    <row r="17" spans="2:10" ht="16.5" customHeight="1" x14ac:dyDescent="0.3">
      <c r="B17" s="35" t="s">
        <v>21</v>
      </c>
      <c r="C17" s="64">
        <v>460</v>
      </c>
      <c r="D17" s="67" t="str">
        <f>Input!$C$13</f>
        <v>€</v>
      </c>
      <c r="E17" s="64">
        <v>200</v>
      </c>
      <c r="F17" s="67" t="str">
        <f>Input!$C$13</f>
        <v>€</v>
      </c>
      <c r="G17" s="35">
        <v>3000</v>
      </c>
      <c r="H17" s="65">
        <f t="shared" si="0"/>
        <v>0.22</v>
      </c>
      <c r="I17" s="70" t="str">
        <f>Input!$C$13</f>
        <v>€</v>
      </c>
      <c r="J17" s="35">
        <v>80</v>
      </c>
    </row>
    <row r="18" spans="2:10" ht="16.5" customHeight="1" x14ac:dyDescent="0.3">
      <c r="B18" s="35" t="s">
        <v>14</v>
      </c>
      <c r="C18" s="64">
        <v>300</v>
      </c>
      <c r="D18" s="67" t="str">
        <f>Input!$C$13</f>
        <v>€</v>
      </c>
      <c r="E18" s="64">
        <v>150</v>
      </c>
      <c r="F18" s="67" t="str">
        <f>Input!$C$13</f>
        <v>€</v>
      </c>
      <c r="G18" s="35">
        <v>3000</v>
      </c>
      <c r="H18" s="65">
        <f t="shared" si="0"/>
        <v>0.15</v>
      </c>
      <c r="I18" s="70" t="str">
        <f>Input!$C$13</f>
        <v>€</v>
      </c>
      <c r="J18" s="35">
        <v>80</v>
      </c>
    </row>
    <row r="19" spans="2:10" ht="16.5" customHeight="1" x14ac:dyDescent="0.3">
      <c r="B19" s="35" t="s">
        <v>15</v>
      </c>
      <c r="C19" s="64">
        <v>1100</v>
      </c>
      <c r="D19" s="67" t="str">
        <f>Input!$C$13</f>
        <v>€</v>
      </c>
      <c r="E19" s="64">
        <v>350</v>
      </c>
      <c r="F19" s="67" t="str">
        <f>Input!$C$13</f>
        <v>€</v>
      </c>
      <c r="G19" s="35">
        <v>5000</v>
      </c>
      <c r="H19" s="65">
        <f t="shared" si="0"/>
        <v>0.28999999999999998</v>
      </c>
      <c r="I19" s="70" t="str">
        <f>Input!$C$13</f>
        <v>€</v>
      </c>
      <c r="J19" s="35">
        <v>120</v>
      </c>
    </row>
    <row r="20" spans="2:10" ht="16.5" customHeight="1" x14ac:dyDescent="0.3">
      <c r="B20" s="35" t="s">
        <v>16</v>
      </c>
      <c r="C20" s="64">
        <v>460</v>
      </c>
      <c r="D20" s="67" t="str">
        <f>Input!$C$13</f>
        <v>€</v>
      </c>
      <c r="E20" s="64">
        <v>200</v>
      </c>
      <c r="F20" s="67" t="str">
        <f>Input!$C$13</f>
        <v>€</v>
      </c>
      <c r="G20" s="35">
        <v>3000</v>
      </c>
      <c r="H20" s="65">
        <f t="shared" si="0"/>
        <v>0.22</v>
      </c>
      <c r="I20" s="70" t="str">
        <f>Input!$C$13</f>
        <v>€</v>
      </c>
      <c r="J20" s="35">
        <v>80</v>
      </c>
    </row>
    <row r="21" spans="2:10" ht="16.5" customHeight="1" x14ac:dyDescent="0.3">
      <c r="B21" s="35" t="s">
        <v>140</v>
      </c>
      <c r="C21" s="64">
        <v>729</v>
      </c>
      <c r="D21" s="67" t="str">
        <f>Input!$C$13</f>
        <v>€</v>
      </c>
      <c r="E21" s="64">
        <v>400</v>
      </c>
      <c r="F21" s="67" t="str">
        <f>Input!$C$13</f>
        <v>€</v>
      </c>
      <c r="G21" s="35">
        <v>5000</v>
      </c>
      <c r="H21" s="65">
        <f t="shared" ref="H21" si="1">IFERROR((C21+E21)/G21,"-")</f>
        <v>0.2258</v>
      </c>
      <c r="I21" s="70" t="str">
        <f>Input!$C$13</f>
        <v>€</v>
      </c>
      <c r="J21" s="35">
        <v>250</v>
      </c>
    </row>
    <row r="22" spans="2:10" ht="16.5" customHeight="1" x14ac:dyDescent="0.3">
      <c r="B22" s="35"/>
      <c r="C22" s="64"/>
      <c r="D22" s="67" t="str">
        <f>Input!$C$13</f>
        <v>€</v>
      </c>
      <c r="E22" s="64"/>
      <c r="F22" s="67" t="str">
        <f>Input!$C$13</f>
        <v>€</v>
      </c>
      <c r="G22" s="35"/>
      <c r="H22" s="65" t="str">
        <f t="shared" ref="H22:H27" si="2">IFERROR((C22+E22)/G22,"-")</f>
        <v>-</v>
      </c>
      <c r="I22" s="70" t="str">
        <f>Input!$C$13</f>
        <v>€</v>
      </c>
      <c r="J22" s="35"/>
    </row>
    <row r="23" spans="2:10" ht="16.5" customHeight="1" x14ac:dyDescent="0.3">
      <c r="B23" s="35"/>
      <c r="C23" s="64"/>
      <c r="D23" s="67" t="str">
        <f>Input!$C$13</f>
        <v>€</v>
      </c>
      <c r="E23" s="64"/>
      <c r="F23" s="67" t="str">
        <f>Input!$C$13</f>
        <v>€</v>
      </c>
      <c r="G23" s="35"/>
      <c r="H23" s="65" t="str">
        <f t="shared" si="2"/>
        <v>-</v>
      </c>
      <c r="I23" s="70" t="str">
        <f>Input!$C$13</f>
        <v>€</v>
      </c>
      <c r="J23" s="35"/>
    </row>
    <row r="24" spans="2:10" ht="16.5" customHeight="1" x14ac:dyDescent="0.3">
      <c r="B24" s="35"/>
      <c r="C24" s="64"/>
      <c r="D24" s="67" t="str">
        <f>Input!$C$13</f>
        <v>€</v>
      </c>
      <c r="E24" s="64"/>
      <c r="F24" s="67" t="str">
        <f>Input!$C$13</f>
        <v>€</v>
      </c>
      <c r="G24" s="35"/>
      <c r="H24" s="65" t="str">
        <f t="shared" si="2"/>
        <v>-</v>
      </c>
      <c r="I24" s="70" t="str">
        <f>Input!$C$13</f>
        <v>€</v>
      </c>
      <c r="J24" s="35"/>
    </row>
    <row r="25" spans="2:10" ht="16.5" customHeight="1" x14ac:dyDescent="0.3">
      <c r="B25" s="35"/>
      <c r="C25" s="64"/>
      <c r="D25" s="67" t="str">
        <f>Input!$C$13</f>
        <v>€</v>
      </c>
      <c r="E25" s="64"/>
      <c r="F25" s="67" t="str">
        <f>Input!$C$13</f>
        <v>€</v>
      </c>
      <c r="G25" s="35"/>
      <c r="H25" s="65" t="str">
        <f t="shared" si="2"/>
        <v>-</v>
      </c>
      <c r="I25" s="70" t="str">
        <f>Input!$C$13</f>
        <v>€</v>
      </c>
      <c r="J25" s="35"/>
    </row>
    <row r="26" spans="2:10" ht="16.5" customHeight="1" x14ac:dyDescent="0.3">
      <c r="B26" s="35"/>
      <c r="C26" s="64"/>
      <c r="D26" s="67" t="str">
        <f>Input!$C$13</f>
        <v>€</v>
      </c>
      <c r="E26" s="64"/>
      <c r="F26" s="67" t="str">
        <f>Input!$C$13</f>
        <v>€</v>
      </c>
      <c r="G26" s="35"/>
      <c r="H26" s="65" t="str">
        <f t="shared" si="2"/>
        <v>-</v>
      </c>
      <c r="I26" s="70" t="str">
        <f>Input!$C$13</f>
        <v>€</v>
      </c>
      <c r="J26" s="35"/>
    </row>
    <row r="27" spans="2:10" ht="16.5" customHeight="1" x14ac:dyDescent="0.3">
      <c r="B27" s="35"/>
      <c r="C27" s="64"/>
      <c r="D27" s="67" t="str">
        <f>Input!$C$13</f>
        <v>€</v>
      </c>
      <c r="E27" s="64"/>
      <c r="F27" s="67" t="str">
        <f>Input!$C$13</f>
        <v>€</v>
      </c>
      <c r="G27" s="35"/>
      <c r="H27" s="65" t="str">
        <f t="shared" si="2"/>
        <v>-</v>
      </c>
      <c r="I27" s="70" t="str">
        <f>Input!$C$13</f>
        <v>€</v>
      </c>
      <c r="J27" s="35"/>
    </row>
    <row r="28" spans="2:10" ht="16.5" customHeight="1" x14ac:dyDescent="0.3">
      <c r="B28" s="42"/>
      <c r="C28" s="42"/>
      <c r="D28" s="68"/>
      <c r="E28" s="42"/>
      <c r="F28" s="68"/>
      <c r="G28" s="42"/>
      <c r="H28" s="43"/>
      <c r="I28" s="71"/>
      <c r="J28" s="42"/>
    </row>
    <row r="29" spans="2:10" ht="16.5" customHeight="1" x14ac:dyDescent="0.3">
      <c r="B29" s="42"/>
      <c r="C29" s="42"/>
      <c r="D29" s="68"/>
      <c r="E29" s="42"/>
      <c r="F29" s="68"/>
      <c r="G29" s="42"/>
      <c r="H29" s="43"/>
      <c r="I29" s="71"/>
      <c r="J29" s="42"/>
    </row>
    <row r="30" spans="2:10" ht="16.5" customHeight="1" x14ac:dyDescent="0.3">
      <c r="B30" s="41"/>
      <c r="C30" s="41"/>
      <c r="D30" s="69"/>
      <c r="E30" s="41"/>
      <c r="F30" s="69"/>
      <c r="G30" s="41"/>
      <c r="J30" s="41"/>
    </row>
    <row r="31" spans="2:10" ht="16.5" customHeight="1" x14ac:dyDescent="0.3">
      <c r="B31" s="41"/>
      <c r="C31" s="41"/>
      <c r="D31" s="69"/>
      <c r="E31" s="41"/>
      <c r="F31" s="69"/>
      <c r="G31" s="41"/>
      <c r="J31" s="41"/>
    </row>
    <row r="32" spans="2:10" ht="16.5" customHeight="1" x14ac:dyDescent="0.3">
      <c r="B32" s="41"/>
      <c r="C32" s="41"/>
      <c r="D32" s="69"/>
      <c r="E32" s="41"/>
      <c r="F32" s="69"/>
      <c r="G32" s="41"/>
      <c r="J32" s="41"/>
    </row>
    <row r="33" spans="2:10" ht="16.5" customHeight="1" x14ac:dyDescent="0.3">
      <c r="B33" s="41"/>
      <c r="C33" s="41"/>
      <c r="D33" s="69"/>
      <c r="E33" s="41"/>
      <c r="F33" s="69"/>
      <c r="G33" s="41"/>
      <c r="J33" s="41"/>
    </row>
    <row r="34" spans="2:10" ht="16.5" customHeight="1" x14ac:dyDescent="0.3">
      <c r="B34" s="41"/>
      <c r="C34" s="41"/>
      <c r="D34" s="69"/>
      <c r="E34" s="41"/>
      <c r="F34" s="69"/>
      <c r="G34" s="41"/>
      <c r="J34" s="41"/>
    </row>
    <row r="35" spans="2:10" ht="16.5" customHeight="1" x14ac:dyDescent="0.3">
      <c r="B35" s="41"/>
      <c r="C35" s="41"/>
      <c r="D35" s="69"/>
      <c r="E35" s="41"/>
      <c r="F35" s="69"/>
      <c r="G35" s="41"/>
      <c r="J35" s="41"/>
    </row>
    <row r="36" spans="2:10" ht="16.5" customHeight="1" x14ac:dyDescent="0.3">
      <c r="B36" s="41"/>
      <c r="C36" s="41"/>
      <c r="D36" s="69"/>
      <c r="E36" s="41"/>
      <c r="F36" s="69"/>
      <c r="G36" s="41"/>
      <c r="J36" s="41"/>
    </row>
    <row r="37" spans="2:10" ht="16.5" customHeight="1" x14ac:dyDescent="0.3">
      <c r="B37" s="41"/>
      <c r="C37" s="41"/>
      <c r="D37" s="69"/>
      <c r="E37" s="41"/>
      <c r="F37" s="69"/>
      <c r="G37" s="41"/>
      <c r="J37" s="41"/>
    </row>
    <row r="38" spans="2:10" ht="16.5" customHeight="1" x14ac:dyDescent="0.3">
      <c r="B38" s="41"/>
      <c r="C38" s="41"/>
      <c r="D38" s="69"/>
      <c r="E38" s="41"/>
      <c r="F38" s="69"/>
      <c r="G38" s="41"/>
      <c r="J38" s="41"/>
    </row>
    <row r="39" spans="2:10" ht="16.5" customHeight="1" x14ac:dyDescent="0.3">
      <c r="B39" s="41"/>
      <c r="C39" s="41"/>
      <c r="D39" s="69"/>
      <c r="E39" s="41"/>
      <c r="F39" s="69"/>
      <c r="G39" s="41"/>
      <c r="J39" s="41"/>
    </row>
    <row r="40" spans="2:10" ht="16.5" customHeight="1" x14ac:dyDescent="0.3">
      <c r="B40" s="41"/>
      <c r="C40" s="41"/>
      <c r="D40" s="69"/>
      <c r="E40" s="41"/>
      <c r="F40" s="69"/>
      <c r="G40" s="41"/>
      <c r="J40" s="41"/>
    </row>
    <row r="41" spans="2:10" ht="16.5" customHeight="1" x14ac:dyDescent="0.3">
      <c r="B41" s="41"/>
      <c r="C41" s="41"/>
      <c r="D41" s="69"/>
      <c r="E41" s="41"/>
      <c r="F41" s="69"/>
      <c r="G41" s="41"/>
      <c r="J41" s="41"/>
    </row>
    <row r="42" spans="2:10" ht="16.5" customHeight="1" x14ac:dyDescent="0.3">
      <c r="B42" s="41"/>
      <c r="C42" s="41"/>
      <c r="D42" s="69"/>
      <c r="E42" s="41"/>
      <c r="F42" s="69"/>
      <c r="G42" s="41"/>
      <c r="J42" s="41"/>
    </row>
    <row r="43" spans="2:10" ht="16.5" customHeight="1" x14ac:dyDescent="0.3">
      <c r="B43" s="41"/>
      <c r="C43" s="41"/>
      <c r="D43" s="69"/>
      <c r="E43" s="41"/>
      <c r="F43" s="69"/>
      <c r="G43" s="41"/>
      <c r="J43" s="41"/>
    </row>
    <row r="44" spans="2:10" ht="16.5" customHeight="1" x14ac:dyDescent="0.3">
      <c r="B44" s="41"/>
      <c r="C44" s="41"/>
      <c r="D44" s="69"/>
      <c r="E44" s="41"/>
      <c r="F44" s="69"/>
      <c r="G44" s="41"/>
      <c r="J44" s="41"/>
    </row>
    <row r="45" spans="2:10" ht="16.5" customHeight="1" x14ac:dyDescent="0.3">
      <c r="B45" s="41"/>
      <c r="C45" s="41"/>
      <c r="D45" s="69"/>
      <c r="E45" s="41"/>
      <c r="F45" s="69"/>
      <c r="G45" s="41"/>
      <c r="J45" s="41"/>
    </row>
    <row r="46" spans="2:10" ht="16.5" customHeight="1" x14ac:dyDescent="0.3">
      <c r="B46" s="41"/>
      <c r="C46" s="41"/>
      <c r="D46" s="69"/>
      <c r="E46" s="41"/>
      <c r="F46" s="69"/>
      <c r="G46" s="41"/>
      <c r="J46" s="41"/>
    </row>
    <row r="47" spans="2:10" ht="16.5" customHeight="1" x14ac:dyDescent="0.3">
      <c r="B47" s="41"/>
      <c r="C47" s="41"/>
      <c r="D47" s="69"/>
      <c r="E47" s="41"/>
      <c r="F47" s="69"/>
      <c r="G47" s="41"/>
      <c r="J47" s="41"/>
    </row>
    <row r="48" spans="2:10" ht="16.5" customHeight="1" x14ac:dyDescent="0.3">
      <c r="B48" s="41"/>
      <c r="C48" s="41"/>
      <c r="D48" s="69"/>
      <c r="E48" s="41"/>
      <c r="F48" s="69"/>
      <c r="G48" s="41"/>
      <c r="J48" s="41"/>
    </row>
    <row r="49" spans="2:10" x14ac:dyDescent="0.3">
      <c r="B49" s="41"/>
      <c r="C49" s="41"/>
      <c r="D49" s="69"/>
      <c r="E49" s="41"/>
      <c r="F49" s="69"/>
      <c r="G49" s="41"/>
      <c r="J49" s="41"/>
    </row>
    <row r="50" spans="2:10" x14ac:dyDescent="0.3">
      <c r="B50" s="41"/>
      <c r="C50" s="41"/>
      <c r="D50" s="69"/>
      <c r="E50" s="41"/>
      <c r="F50" s="69"/>
      <c r="G50" s="41"/>
      <c r="J50" s="41"/>
    </row>
    <row r="51" spans="2:10" x14ac:dyDescent="0.3">
      <c r="B51" s="41"/>
      <c r="C51" s="41"/>
      <c r="D51" s="69"/>
      <c r="E51" s="41"/>
      <c r="F51" s="69"/>
      <c r="G51" s="41"/>
      <c r="J51" s="41"/>
    </row>
    <row r="52" spans="2:10" x14ac:dyDescent="0.3">
      <c r="B52" s="41"/>
      <c r="C52" s="41"/>
      <c r="D52" s="69"/>
      <c r="E52" s="41"/>
      <c r="F52" s="69"/>
      <c r="G52" s="41"/>
      <c r="J52" s="41"/>
    </row>
    <row r="53" spans="2:10" x14ac:dyDescent="0.3">
      <c r="B53" s="41"/>
      <c r="C53" s="41"/>
      <c r="D53" s="69"/>
      <c r="E53" s="41"/>
      <c r="F53" s="69"/>
      <c r="G53" s="41"/>
      <c r="J53" s="41"/>
    </row>
    <row r="54" spans="2:10" x14ac:dyDescent="0.3">
      <c r="B54" s="41"/>
      <c r="C54" s="41"/>
      <c r="D54" s="69"/>
      <c r="E54" s="41"/>
      <c r="F54" s="69"/>
      <c r="G54" s="41"/>
      <c r="J54" s="41"/>
    </row>
    <row r="55" spans="2:10" x14ac:dyDescent="0.3">
      <c r="B55" s="41"/>
      <c r="C55" s="41"/>
      <c r="D55" s="69"/>
      <c r="E55" s="41"/>
      <c r="F55" s="69"/>
      <c r="G55" s="41"/>
      <c r="J55" s="41"/>
    </row>
    <row r="56" spans="2:10" x14ac:dyDescent="0.3">
      <c r="B56" s="41"/>
      <c r="C56" s="41"/>
      <c r="D56" s="69"/>
      <c r="E56" s="41"/>
      <c r="F56" s="69"/>
      <c r="G56" s="41"/>
      <c r="J56" s="41"/>
    </row>
    <row r="57" spans="2:10" x14ac:dyDescent="0.3">
      <c r="B57" s="41"/>
      <c r="C57" s="41"/>
      <c r="D57" s="69"/>
      <c r="E57" s="41"/>
      <c r="F57" s="69"/>
      <c r="G57" s="41"/>
      <c r="J57" s="41"/>
    </row>
    <row r="58" spans="2:10" x14ac:dyDescent="0.3">
      <c r="B58" s="41"/>
      <c r="C58" s="41"/>
      <c r="D58" s="69"/>
      <c r="E58" s="41"/>
      <c r="F58" s="69"/>
      <c r="G58" s="41"/>
      <c r="J58" s="41"/>
    </row>
    <row r="59" spans="2:10" x14ac:dyDescent="0.3">
      <c r="B59" s="41"/>
      <c r="C59" s="41"/>
      <c r="D59" s="69"/>
      <c r="E59" s="41"/>
      <c r="F59" s="69"/>
      <c r="G59" s="41"/>
      <c r="J59" s="41"/>
    </row>
    <row r="60" spans="2:10" x14ac:dyDescent="0.3">
      <c r="B60" s="41"/>
      <c r="C60" s="41"/>
      <c r="D60" s="69"/>
      <c r="E60" s="41"/>
      <c r="F60" s="69"/>
      <c r="G60" s="41"/>
      <c r="J60" s="41"/>
    </row>
    <row r="61" spans="2:10" x14ac:dyDescent="0.3">
      <c r="B61" s="41"/>
      <c r="C61" s="41"/>
      <c r="D61" s="69"/>
      <c r="E61" s="41"/>
      <c r="F61" s="69"/>
      <c r="G61" s="41"/>
      <c r="J61" s="41"/>
    </row>
    <row r="62" spans="2:10" x14ac:dyDescent="0.3">
      <c r="B62" s="41"/>
      <c r="C62" s="41"/>
      <c r="D62" s="69"/>
      <c r="E62" s="41"/>
      <c r="F62" s="69"/>
      <c r="G62" s="41"/>
      <c r="J62" s="41"/>
    </row>
    <row r="63" spans="2:10" x14ac:dyDescent="0.3">
      <c r="B63" s="41"/>
      <c r="C63" s="41"/>
      <c r="D63" s="69"/>
      <c r="E63" s="41"/>
      <c r="F63" s="69"/>
      <c r="G63" s="41"/>
      <c r="J63" s="41"/>
    </row>
    <row r="64" spans="2:10" x14ac:dyDescent="0.3">
      <c r="B64" s="41"/>
      <c r="C64" s="41"/>
      <c r="D64" s="69"/>
      <c r="E64" s="41"/>
      <c r="F64" s="69"/>
      <c r="G64" s="41"/>
      <c r="J64" s="41"/>
    </row>
    <row r="65" spans="2:10" x14ac:dyDescent="0.3">
      <c r="B65" s="41"/>
      <c r="C65" s="41"/>
      <c r="D65" s="69"/>
      <c r="E65" s="41"/>
      <c r="F65" s="69"/>
      <c r="G65" s="41"/>
      <c r="J65" s="41"/>
    </row>
    <row r="66" spans="2:10" x14ac:dyDescent="0.3">
      <c r="B66" s="41"/>
      <c r="C66" s="41"/>
      <c r="D66" s="69"/>
      <c r="E66" s="41"/>
      <c r="F66" s="69"/>
      <c r="G66" s="41"/>
      <c r="J66" s="41"/>
    </row>
    <row r="67" spans="2:10" x14ac:dyDescent="0.3">
      <c r="B67" s="41"/>
      <c r="C67" s="41"/>
      <c r="D67" s="69"/>
      <c r="E67" s="41"/>
      <c r="F67" s="69"/>
      <c r="G67" s="41"/>
      <c r="J67" s="41"/>
    </row>
    <row r="68" spans="2:10" x14ac:dyDescent="0.3">
      <c r="B68" s="41"/>
      <c r="C68" s="41"/>
      <c r="D68" s="69"/>
      <c r="E68" s="41"/>
      <c r="F68" s="69"/>
      <c r="G68" s="41"/>
      <c r="J68" s="41"/>
    </row>
    <row r="69" spans="2:10" x14ac:dyDescent="0.3">
      <c r="B69" s="41"/>
      <c r="C69" s="41"/>
      <c r="D69" s="69"/>
      <c r="E69" s="41"/>
      <c r="F69" s="69"/>
      <c r="G69" s="41"/>
      <c r="J69" s="41"/>
    </row>
    <row r="70" spans="2:10" x14ac:dyDescent="0.3">
      <c r="B70" s="41"/>
      <c r="C70" s="41"/>
      <c r="D70" s="69"/>
      <c r="E70" s="41"/>
      <c r="F70" s="69"/>
      <c r="G70" s="41"/>
      <c r="J70" s="41"/>
    </row>
    <row r="71" spans="2:10" x14ac:dyDescent="0.3">
      <c r="B71" s="41"/>
      <c r="C71" s="41"/>
      <c r="D71" s="69"/>
      <c r="E71" s="41"/>
      <c r="F71" s="69"/>
      <c r="G71" s="41"/>
      <c r="J71" s="41"/>
    </row>
  </sheetData>
  <mergeCells count="2">
    <mergeCell ref="G3:M4"/>
    <mergeCell ref="B8:J8"/>
  </mergeCells>
  <pageMargins left="0.7" right="0.7" top="0.75" bottom="0.75" header="0.3" footer="0.3"/>
  <pageSetup orientation="portrait" r:id="rId1"/>
  <ignoredErrors>
    <ignoredError sqref="D10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F70E-A16C-4CC8-B0DA-C6A2B2D45CEC}">
  <dimension ref="B3:K48"/>
  <sheetViews>
    <sheetView showGridLines="0" zoomScaleNormal="100" workbookViewId="0">
      <selection activeCell="D24" sqref="D24"/>
    </sheetView>
  </sheetViews>
  <sheetFormatPr defaultColWidth="8.6640625" defaultRowHeight="14.4" x14ac:dyDescent="0.3"/>
  <cols>
    <col min="1" max="1" width="9.6640625" style="38" customWidth="1"/>
    <col min="2" max="2" width="13.33203125" style="38" bestFit="1" customWidth="1"/>
    <col min="3" max="3" width="32.6640625" style="38" bestFit="1" customWidth="1"/>
    <col min="4" max="4" width="13.6640625" style="38" customWidth="1"/>
    <col min="5" max="5" width="2.6640625" style="66" customWidth="1"/>
    <col min="6" max="6" width="19" style="38" customWidth="1"/>
    <col min="7" max="7" width="17.33203125" style="38" customWidth="1"/>
    <col min="8" max="8" width="2.6640625" style="66" customWidth="1"/>
    <col min="9" max="16384" width="8.6640625" style="38"/>
  </cols>
  <sheetData>
    <row r="3" spans="2:11" ht="14.7" customHeight="1" x14ac:dyDescent="0.45">
      <c r="D3" s="72"/>
      <c r="E3" s="75"/>
      <c r="F3" s="72"/>
      <c r="G3" s="72"/>
      <c r="H3" s="75"/>
      <c r="I3" s="72"/>
      <c r="J3" s="72"/>
      <c r="K3" s="72"/>
    </row>
    <row r="4" spans="2:11" ht="14.7" customHeight="1" x14ac:dyDescent="0.45">
      <c r="D4" s="72"/>
      <c r="E4" s="75"/>
      <c r="F4" s="72"/>
      <c r="G4" s="72"/>
      <c r="H4" s="75"/>
      <c r="I4" s="72"/>
      <c r="J4" s="72"/>
      <c r="K4" s="72"/>
    </row>
    <row r="8" spans="2:11" ht="30" customHeight="1" x14ac:dyDescent="0.3">
      <c r="B8" s="166" t="s">
        <v>122</v>
      </c>
      <c r="C8" s="166"/>
      <c r="D8" s="166"/>
      <c r="E8" s="166"/>
      <c r="F8" s="166"/>
      <c r="G8" s="166"/>
      <c r="H8" s="63"/>
    </row>
    <row r="9" spans="2:11" ht="21" customHeight="1" x14ac:dyDescent="0.3">
      <c r="B9" s="60" t="s">
        <v>8</v>
      </c>
      <c r="C9" s="60" t="s">
        <v>1</v>
      </c>
      <c r="D9" s="248" t="s">
        <v>123</v>
      </c>
      <c r="E9" s="248"/>
      <c r="F9" s="60" t="s">
        <v>124</v>
      </c>
      <c r="G9" s="60" t="s">
        <v>125</v>
      </c>
      <c r="H9" s="60"/>
      <c r="J9"/>
    </row>
    <row r="10" spans="2:11" ht="16.5" customHeight="1" x14ac:dyDescent="0.3">
      <c r="B10" s="35" t="s">
        <v>9</v>
      </c>
      <c r="C10" s="35" t="s">
        <v>29</v>
      </c>
      <c r="D10" s="73">
        <v>16.05</v>
      </c>
      <c r="E10" s="67" t="str">
        <f>Input!$C$13</f>
        <v>€</v>
      </c>
      <c r="F10" s="35">
        <v>1</v>
      </c>
      <c r="G10" s="65">
        <f>IFERROR((D10/F10),"-")</f>
        <v>16.05</v>
      </c>
      <c r="H10" s="76" t="str">
        <f>Input!$C$13</f>
        <v>€</v>
      </c>
    </row>
    <row r="11" spans="2:11" ht="16.5" customHeight="1" x14ac:dyDescent="0.3">
      <c r="B11" s="35" t="s">
        <v>33</v>
      </c>
      <c r="C11" s="35" t="s">
        <v>34</v>
      </c>
      <c r="D11" s="73">
        <v>17.09</v>
      </c>
      <c r="E11" s="67" t="str">
        <f>Input!$C$13</f>
        <v>€</v>
      </c>
      <c r="F11" s="35">
        <v>1</v>
      </c>
      <c r="G11" s="65">
        <f t="shared" ref="G11:G40" si="0">IFERROR((D11/F11),"-")</f>
        <v>17.09</v>
      </c>
      <c r="H11" s="76" t="str">
        <f>Input!$C$13</f>
        <v>€</v>
      </c>
    </row>
    <row r="12" spans="2:11" ht="16.5" customHeight="1" x14ac:dyDescent="0.3">
      <c r="B12" s="35" t="s">
        <v>10</v>
      </c>
      <c r="C12" s="35" t="s">
        <v>28</v>
      </c>
      <c r="D12" s="73">
        <v>17.05</v>
      </c>
      <c r="E12" s="67" t="str">
        <f>Input!$C$13</f>
        <v>€</v>
      </c>
      <c r="F12" s="35">
        <v>1</v>
      </c>
      <c r="G12" s="65">
        <f t="shared" si="0"/>
        <v>17.05</v>
      </c>
      <c r="H12" s="76" t="str">
        <f>Input!$C$13</f>
        <v>€</v>
      </c>
    </row>
    <row r="13" spans="2:11" ht="16.5" customHeight="1" x14ac:dyDescent="0.3">
      <c r="B13" s="35" t="s">
        <v>9</v>
      </c>
      <c r="C13" s="35" t="s">
        <v>31</v>
      </c>
      <c r="D13" s="73">
        <v>20</v>
      </c>
      <c r="E13" s="67" t="str">
        <f>Input!$C$13</f>
        <v>€</v>
      </c>
      <c r="F13" s="35">
        <v>1</v>
      </c>
      <c r="G13" s="65">
        <f t="shared" si="0"/>
        <v>20</v>
      </c>
      <c r="H13" s="76" t="str">
        <f>Input!$C$13</f>
        <v>€</v>
      </c>
    </row>
    <row r="14" spans="2:11" ht="16.5" customHeight="1" x14ac:dyDescent="0.3">
      <c r="B14" s="35" t="s">
        <v>9</v>
      </c>
      <c r="C14" s="35" t="s">
        <v>32</v>
      </c>
      <c r="D14" s="73">
        <v>20</v>
      </c>
      <c r="E14" s="67" t="str">
        <f>Input!$C$13</f>
        <v>€</v>
      </c>
      <c r="F14" s="35">
        <v>1</v>
      </c>
      <c r="G14" s="65">
        <f t="shared" si="0"/>
        <v>20</v>
      </c>
      <c r="H14" s="76" t="str">
        <f>Input!$C$13</f>
        <v>€</v>
      </c>
    </row>
    <row r="15" spans="2:11" ht="16.5" customHeight="1" x14ac:dyDescent="0.3">
      <c r="B15" s="35" t="s">
        <v>9</v>
      </c>
      <c r="C15" s="35" t="s">
        <v>22</v>
      </c>
      <c r="D15" s="73">
        <v>20</v>
      </c>
      <c r="E15" s="67" t="str">
        <f>Input!$C$13</f>
        <v>€</v>
      </c>
      <c r="F15" s="35">
        <v>1</v>
      </c>
      <c r="G15" s="65">
        <f t="shared" si="0"/>
        <v>20</v>
      </c>
      <c r="H15" s="76" t="str">
        <f>Input!$C$13</f>
        <v>€</v>
      </c>
    </row>
    <row r="16" spans="2:11" ht="16.5" customHeight="1" x14ac:dyDescent="0.3">
      <c r="B16" s="35" t="s">
        <v>9</v>
      </c>
      <c r="C16" s="35" t="s">
        <v>23</v>
      </c>
      <c r="D16" s="73">
        <v>20</v>
      </c>
      <c r="E16" s="67" t="str">
        <f>Input!$C$13</f>
        <v>€</v>
      </c>
      <c r="F16" s="35">
        <v>1</v>
      </c>
      <c r="G16" s="65">
        <f t="shared" si="0"/>
        <v>20</v>
      </c>
      <c r="H16" s="76" t="str">
        <f>Input!$C$13</f>
        <v>€</v>
      </c>
    </row>
    <row r="17" spans="2:8" ht="16.5" customHeight="1" x14ac:dyDescent="0.3">
      <c r="B17" s="35" t="s">
        <v>9</v>
      </c>
      <c r="C17" s="35" t="s">
        <v>29</v>
      </c>
      <c r="D17" s="73">
        <v>20</v>
      </c>
      <c r="E17" s="67" t="str">
        <f>Input!$C$13</f>
        <v>€</v>
      </c>
      <c r="F17" s="35">
        <v>1</v>
      </c>
      <c r="G17" s="65">
        <f t="shared" si="0"/>
        <v>20</v>
      </c>
      <c r="H17" s="76" t="str">
        <f>Input!$C$13</f>
        <v>€</v>
      </c>
    </row>
    <row r="18" spans="2:8" ht="16.5" customHeight="1" x14ac:dyDescent="0.3">
      <c r="B18" s="35" t="s">
        <v>9</v>
      </c>
      <c r="C18" s="35" t="s">
        <v>30</v>
      </c>
      <c r="D18" s="73">
        <v>20</v>
      </c>
      <c r="E18" s="67" t="str">
        <f>Input!$C$13</f>
        <v>€</v>
      </c>
      <c r="F18" s="35">
        <v>1</v>
      </c>
      <c r="G18" s="65">
        <f t="shared" si="0"/>
        <v>20</v>
      </c>
      <c r="H18" s="76" t="str">
        <f>Input!$C$13</f>
        <v>€</v>
      </c>
    </row>
    <row r="19" spans="2:8" ht="16.5" customHeight="1" x14ac:dyDescent="0.3">
      <c r="B19" s="35" t="s">
        <v>9</v>
      </c>
      <c r="C19" s="35" t="s">
        <v>24</v>
      </c>
      <c r="D19" s="73">
        <v>20</v>
      </c>
      <c r="E19" s="67" t="str">
        <f>Input!$C$13</f>
        <v>€</v>
      </c>
      <c r="F19" s="35">
        <v>1</v>
      </c>
      <c r="G19" s="65">
        <f t="shared" si="0"/>
        <v>20</v>
      </c>
      <c r="H19" s="76" t="str">
        <f>Input!$C$13</f>
        <v>€</v>
      </c>
    </row>
    <row r="20" spans="2:8" ht="16.5" customHeight="1" x14ac:dyDescent="0.3">
      <c r="B20" s="35" t="s">
        <v>10</v>
      </c>
      <c r="C20" s="35" t="s">
        <v>25</v>
      </c>
      <c r="D20" s="73">
        <v>20</v>
      </c>
      <c r="E20" s="67" t="str">
        <f>Input!$C$13</f>
        <v>€</v>
      </c>
      <c r="F20" s="35">
        <v>1</v>
      </c>
      <c r="G20" s="65">
        <f t="shared" si="0"/>
        <v>20</v>
      </c>
      <c r="H20" s="76" t="str">
        <f>Input!$C$13</f>
        <v>€</v>
      </c>
    </row>
    <row r="21" spans="2:8" ht="16.5" customHeight="1" x14ac:dyDescent="0.3">
      <c r="B21" s="35" t="s">
        <v>10</v>
      </c>
      <c r="C21" s="35" t="s">
        <v>26</v>
      </c>
      <c r="D21" s="73">
        <v>20</v>
      </c>
      <c r="E21" s="67" t="str">
        <f>Input!$C$13</f>
        <v>€</v>
      </c>
      <c r="F21" s="35">
        <v>1</v>
      </c>
      <c r="G21" s="65">
        <f t="shared" si="0"/>
        <v>20</v>
      </c>
      <c r="H21" s="76" t="str">
        <f>Input!$C$13</f>
        <v>€</v>
      </c>
    </row>
    <row r="22" spans="2:8" ht="16.5" customHeight="1" x14ac:dyDescent="0.3">
      <c r="B22" s="35" t="s">
        <v>10</v>
      </c>
      <c r="C22" s="35" t="s">
        <v>27</v>
      </c>
      <c r="D22" s="73">
        <v>20</v>
      </c>
      <c r="E22" s="67" t="str">
        <f>Input!$C$13</f>
        <v>€</v>
      </c>
      <c r="F22" s="35">
        <v>1</v>
      </c>
      <c r="G22" s="65">
        <f t="shared" si="0"/>
        <v>20</v>
      </c>
      <c r="H22" s="76" t="str">
        <f>Input!$C$13</f>
        <v>€</v>
      </c>
    </row>
    <row r="23" spans="2:8" ht="16.5" customHeight="1" x14ac:dyDescent="0.3">
      <c r="B23" s="35" t="s">
        <v>134</v>
      </c>
      <c r="C23" s="35" t="s">
        <v>135</v>
      </c>
      <c r="D23" s="74">
        <v>15</v>
      </c>
      <c r="E23" s="67" t="str">
        <f>Input!$C$13</f>
        <v>€</v>
      </c>
      <c r="F23" s="35">
        <v>1</v>
      </c>
      <c r="G23" s="65">
        <f t="shared" si="0"/>
        <v>15</v>
      </c>
      <c r="H23" s="76" t="str">
        <f>Input!$C$13</f>
        <v>€</v>
      </c>
    </row>
    <row r="24" spans="2:8" ht="16.5" customHeight="1" x14ac:dyDescent="0.3">
      <c r="B24" s="35"/>
      <c r="C24" s="35"/>
      <c r="D24" s="74"/>
      <c r="E24" s="67" t="str">
        <f>Input!$C$13</f>
        <v>€</v>
      </c>
      <c r="F24" s="35"/>
      <c r="G24" s="65" t="str">
        <f t="shared" si="0"/>
        <v>-</v>
      </c>
      <c r="H24" s="76" t="str">
        <f>Input!$C$13</f>
        <v>€</v>
      </c>
    </row>
    <row r="25" spans="2:8" ht="16.5" customHeight="1" x14ac:dyDescent="0.3">
      <c r="B25" s="35"/>
      <c r="C25" s="35"/>
      <c r="D25" s="74"/>
      <c r="E25" s="67" t="str">
        <f>Input!$C$13</f>
        <v>€</v>
      </c>
      <c r="F25" s="35"/>
      <c r="G25" s="65" t="str">
        <f t="shared" si="0"/>
        <v>-</v>
      </c>
      <c r="H25" s="76" t="str">
        <f>Input!$C$13</f>
        <v>€</v>
      </c>
    </row>
    <row r="26" spans="2:8" ht="16.5" customHeight="1" x14ac:dyDescent="0.3">
      <c r="B26" s="35"/>
      <c r="C26" s="35"/>
      <c r="D26" s="74"/>
      <c r="E26" s="67" t="str">
        <f>Input!$C$13</f>
        <v>€</v>
      </c>
      <c r="F26" s="35"/>
      <c r="G26" s="65" t="str">
        <f t="shared" si="0"/>
        <v>-</v>
      </c>
      <c r="H26" s="76" t="str">
        <f>Input!$C$13</f>
        <v>€</v>
      </c>
    </row>
    <row r="27" spans="2:8" ht="16.5" customHeight="1" x14ac:dyDescent="0.3">
      <c r="B27" s="35"/>
      <c r="C27" s="35"/>
      <c r="D27" s="74"/>
      <c r="E27" s="67" t="str">
        <f>Input!$C$13</f>
        <v>€</v>
      </c>
      <c r="F27" s="35"/>
      <c r="G27" s="65" t="str">
        <f t="shared" si="0"/>
        <v>-</v>
      </c>
      <c r="H27" s="76" t="str">
        <f>Input!$C$13</f>
        <v>€</v>
      </c>
    </row>
    <row r="28" spans="2:8" ht="16.5" customHeight="1" x14ac:dyDescent="0.3">
      <c r="B28" s="35"/>
      <c r="C28" s="35"/>
      <c r="D28" s="74"/>
      <c r="E28" s="67" t="str">
        <f>Input!$C$13</f>
        <v>€</v>
      </c>
      <c r="F28" s="35"/>
      <c r="G28" s="65" t="str">
        <f t="shared" si="0"/>
        <v>-</v>
      </c>
      <c r="H28" s="76" t="str">
        <f>Input!$C$13</f>
        <v>€</v>
      </c>
    </row>
    <row r="29" spans="2:8" ht="16.5" customHeight="1" x14ac:dyDescent="0.3">
      <c r="B29" s="35"/>
      <c r="C29" s="35"/>
      <c r="D29" s="74"/>
      <c r="E29" s="67" t="str">
        <f>Input!$C$13</f>
        <v>€</v>
      </c>
      <c r="F29" s="35"/>
      <c r="G29" s="65" t="str">
        <f t="shared" si="0"/>
        <v>-</v>
      </c>
      <c r="H29" s="76" t="str">
        <f>Input!$C$13</f>
        <v>€</v>
      </c>
    </row>
    <row r="30" spans="2:8" ht="16.5" customHeight="1" x14ac:dyDescent="0.3">
      <c r="B30" s="35"/>
      <c r="C30" s="35"/>
      <c r="D30" s="74"/>
      <c r="E30" s="67" t="str">
        <f>Input!$C$13</f>
        <v>€</v>
      </c>
      <c r="F30" s="35"/>
      <c r="G30" s="65" t="str">
        <f t="shared" si="0"/>
        <v>-</v>
      </c>
      <c r="H30" s="76" t="str">
        <f>Input!$C$13</f>
        <v>€</v>
      </c>
    </row>
    <row r="31" spans="2:8" ht="16.5" customHeight="1" x14ac:dyDescent="0.3">
      <c r="B31" s="35"/>
      <c r="C31" s="35"/>
      <c r="D31" s="74"/>
      <c r="E31" s="67" t="str">
        <f>Input!$C$13</f>
        <v>€</v>
      </c>
      <c r="F31" s="35"/>
      <c r="G31" s="65" t="str">
        <f t="shared" si="0"/>
        <v>-</v>
      </c>
      <c r="H31" s="76" t="str">
        <f>Input!$C$13</f>
        <v>€</v>
      </c>
    </row>
    <row r="32" spans="2:8" ht="16.5" customHeight="1" x14ac:dyDescent="0.3">
      <c r="B32" s="35"/>
      <c r="C32" s="35"/>
      <c r="D32" s="74"/>
      <c r="E32" s="67" t="str">
        <f>Input!$C$13</f>
        <v>€</v>
      </c>
      <c r="F32" s="35"/>
      <c r="G32" s="65" t="str">
        <f t="shared" si="0"/>
        <v>-</v>
      </c>
      <c r="H32" s="76" t="str">
        <f>Input!$C$13</f>
        <v>€</v>
      </c>
    </row>
    <row r="33" spans="2:8" ht="16.5" customHeight="1" x14ac:dyDescent="0.3">
      <c r="B33" s="35"/>
      <c r="C33" s="35"/>
      <c r="D33" s="74"/>
      <c r="E33" s="67" t="str">
        <f>Input!$C$13</f>
        <v>€</v>
      </c>
      <c r="F33" s="35"/>
      <c r="G33" s="65" t="str">
        <f t="shared" si="0"/>
        <v>-</v>
      </c>
      <c r="H33" s="76" t="str">
        <f>Input!$C$13</f>
        <v>€</v>
      </c>
    </row>
    <row r="34" spans="2:8" ht="16.5" customHeight="1" x14ac:dyDescent="0.3">
      <c r="B34" s="35"/>
      <c r="C34" s="35"/>
      <c r="D34" s="74"/>
      <c r="E34" s="67" t="str">
        <f>Input!$C$13</f>
        <v>€</v>
      </c>
      <c r="F34" s="35"/>
      <c r="G34" s="65" t="str">
        <f>IFERROR((D34/F34),"-")</f>
        <v>-</v>
      </c>
      <c r="H34" s="76" t="str">
        <f>Input!$C$13</f>
        <v>€</v>
      </c>
    </row>
    <row r="35" spans="2:8" ht="16.5" customHeight="1" x14ac:dyDescent="0.3">
      <c r="B35" s="35"/>
      <c r="C35" s="35"/>
      <c r="D35" s="74"/>
      <c r="E35" s="67" t="str">
        <f>Input!$C$13</f>
        <v>€</v>
      </c>
      <c r="F35" s="35"/>
      <c r="G35" s="65" t="str">
        <f t="shared" si="0"/>
        <v>-</v>
      </c>
      <c r="H35" s="76" t="str">
        <f>Input!$C$13</f>
        <v>€</v>
      </c>
    </row>
    <row r="36" spans="2:8" ht="16.5" customHeight="1" x14ac:dyDescent="0.3">
      <c r="B36" s="35"/>
      <c r="C36" s="35"/>
      <c r="D36" s="74"/>
      <c r="E36" s="67" t="str">
        <f>Input!$C$13</f>
        <v>€</v>
      </c>
      <c r="F36" s="35"/>
      <c r="G36" s="65" t="str">
        <f t="shared" si="0"/>
        <v>-</v>
      </c>
      <c r="H36" s="76" t="str">
        <f>Input!$C$13</f>
        <v>€</v>
      </c>
    </row>
    <row r="37" spans="2:8" ht="16.5" customHeight="1" x14ac:dyDescent="0.3">
      <c r="B37" s="35"/>
      <c r="C37" s="35"/>
      <c r="D37" s="74"/>
      <c r="E37" s="67" t="str">
        <f>Input!$C$13</f>
        <v>€</v>
      </c>
      <c r="F37" s="35"/>
      <c r="G37" s="65" t="str">
        <f t="shared" si="0"/>
        <v>-</v>
      </c>
      <c r="H37" s="76" t="str">
        <f>Input!$C$13</f>
        <v>€</v>
      </c>
    </row>
    <row r="38" spans="2:8" ht="16.5" customHeight="1" x14ac:dyDescent="0.3">
      <c r="B38" s="35"/>
      <c r="C38" s="35"/>
      <c r="D38" s="74"/>
      <c r="E38" s="67" t="str">
        <f>Input!$C$13</f>
        <v>€</v>
      </c>
      <c r="F38" s="35"/>
      <c r="G38" s="65" t="str">
        <f t="shared" si="0"/>
        <v>-</v>
      </c>
      <c r="H38" s="76" t="str">
        <f>Input!$C$13</f>
        <v>€</v>
      </c>
    </row>
    <row r="39" spans="2:8" ht="16.5" customHeight="1" x14ac:dyDescent="0.3">
      <c r="B39" s="35"/>
      <c r="C39" s="35"/>
      <c r="D39" s="74"/>
      <c r="E39" s="67" t="str">
        <f>Input!$C$13</f>
        <v>€</v>
      </c>
      <c r="F39" s="35"/>
      <c r="G39" s="65" t="str">
        <f t="shared" si="0"/>
        <v>-</v>
      </c>
      <c r="H39" s="76" t="str">
        <f>Input!$C$13</f>
        <v>€</v>
      </c>
    </row>
    <row r="40" spans="2:8" ht="16.5" customHeight="1" x14ac:dyDescent="0.3">
      <c r="B40" s="35"/>
      <c r="C40" s="35"/>
      <c r="D40" s="74"/>
      <c r="E40" s="67" t="str">
        <f>Input!$C$13</f>
        <v>€</v>
      </c>
      <c r="F40" s="35"/>
      <c r="G40" s="65" t="str">
        <f t="shared" si="0"/>
        <v>-</v>
      </c>
      <c r="H40" s="76" t="str">
        <f>Input!$C$13</f>
        <v>€</v>
      </c>
    </row>
    <row r="41" spans="2:8" ht="16.5" customHeight="1" x14ac:dyDescent="0.3"/>
    <row r="42" spans="2:8" ht="16.5" customHeight="1" x14ac:dyDescent="0.3"/>
    <row r="43" spans="2:8" ht="16.5" customHeight="1" x14ac:dyDescent="0.3"/>
    <row r="44" spans="2:8" ht="16.5" customHeight="1" x14ac:dyDescent="0.3"/>
    <row r="45" spans="2:8" ht="16.5" customHeight="1" x14ac:dyDescent="0.3"/>
    <row r="46" spans="2:8" ht="16.5" customHeight="1" x14ac:dyDescent="0.3"/>
    <row r="47" spans="2:8" ht="16.5" customHeight="1" x14ac:dyDescent="0.3"/>
    <row r="48" spans="2:8" ht="16.5" customHeight="1" x14ac:dyDescent="0.3"/>
  </sheetData>
  <mergeCells count="2">
    <mergeCell ref="B8:G8"/>
    <mergeCell ref="D9:E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B47D-FACD-4398-A2A1-A14B5C7C866F}">
  <dimension ref="B3:J71"/>
  <sheetViews>
    <sheetView zoomScaleNormal="100" workbookViewId="0">
      <selection activeCell="B32" sqref="B32"/>
    </sheetView>
  </sheetViews>
  <sheetFormatPr defaultColWidth="8.6640625" defaultRowHeight="14.4" x14ac:dyDescent="0.3"/>
  <cols>
    <col min="1" max="1" width="9.6640625" style="38" customWidth="1"/>
    <col min="2" max="2" width="33.33203125" style="38" customWidth="1"/>
    <col min="3" max="8" width="18" style="38" customWidth="1"/>
    <col min="9" max="10" width="20.6640625" style="38" customWidth="1"/>
    <col min="11" max="16384" width="8.6640625" style="38"/>
  </cols>
  <sheetData>
    <row r="3" spans="2:10" x14ac:dyDescent="0.3">
      <c r="E3" s="247"/>
      <c r="F3" s="247"/>
      <c r="G3" s="247"/>
      <c r="H3" s="247"/>
      <c r="I3" s="247"/>
      <c r="J3" s="247"/>
    </row>
    <row r="4" spans="2:10" x14ac:dyDescent="0.3">
      <c r="E4" s="247"/>
      <c r="F4" s="247"/>
      <c r="G4" s="247"/>
      <c r="H4" s="247"/>
      <c r="I4" s="247"/>
      <c r="J4" s="247"/>
    </row>
    <row r="8" spans="2:10" ht="30" customHeight="1" x14ac:dyDescent="0.3">
      <c r="B8" s="173" t="s">
        <v>66</v>
      </c>
      <c r="C8" s="173"/>
      <c r="D8" s="173"/>
      <c r="E8" s="173"/>
      <c r="F8" s="173"/>
      <c r="G8" s="173"/>
      <c r="H8" s="173"/>
      <c r="I8" s="173"/>
      <c r="J8" s="173"/>
    </row>
    <row r="9" spans="2:10" ht="44.25" customHeight="1" x14ac:dyDescent="0.3">
      <c r="B9" s="5" t="s">
        <v>37</v>
      </c>
      <c r="C9" s="5" t="s">
        <v>126</v>
      </c>
      <c r="D9" s="5" t="s">
        <v>127</v>
      </c>
      <c r="E9" s="5" t="s">
        <v>128</v>
      </c>
      <c r="F9" s="5" t="s">
        <v>129</v>
      </c>
      <c r="G9" s="5" t="s">
        <v>130</v>
      </c>
      <c r="H9" s="5" t="s">
        <v>131</v>
      </c>
      <c r="I9" s="103" t="s">
        <v>132</v>
      </c>
      <c r="J9" s="103" t="s">
        <v>133</v>
      </c>
    </row>
    <row r="10" spans="2:10" ht="16.5" customHeight="1" x14ac:dyDescent="0.3">
      <c r="B10" s="35" t="s">
        <v>38</v>
      </c>
      <c r="C10" s="64">
        <v>20.6</v>
      </c>
      <c r="D10" s="64"/>
      <c r="E10" s="97">
        <v>2.9000000000000001E-2</v>
      </c>
      <c r="F10" s="98">
        <v>0.3</v>
      </c>
      <c r="G10" s="36"/>
      <c r="H10" s="99"/>
      <c r="I10" s="104">
        <f>IF(D10+E10+H10=0,"",D10+E10+H10)</f>
        <v>2.9000000000000001E-2</v>
      </c>
      <c r="J10" s="105">
        <f>IF(C10/Input!$C$14+F10+G10=0,"",C10/Input!$C$14+F10+G10)</f>
        <v>0.50600000000000001</v>
      </c>
    </row>
    <row r="11" spans="2:10" ht="16.5" customHeight="1" x14ac:dyDescent="0.3">
      <c r="B11" s="35" t="s">
        <v>42</v>
      </c>
      <c r="C11" s="64">
        <v>79</v>
      </c>
      <c r="D11" s="64"/>
      <c r="E11" s="97">
        <v>2.5999999999999999E-2</v>
      </c>
      <c r="F11" s="98">
        <v>0.3</v>
      </c>
      <c r="G11" s="36"/>
      <c r="H11" s="99"/>
      <c r="I11" s="104">
        <f t="shared" ref="I11:I27" si="0">IF(D11+E11+H11=0,"",D11+E11+H11)</f>
        <v>2.5999999999999999E-2</v>
      </c>
      <c r="J11" s="105">
        <f>IF(C11/Input!$C$14+F11+G11=0,"",C11/Input!$C$14+F11+G11)</f>
        <v>1.0900000000000001</v>
      </c>
    </row>
    <row r="12" spans="2:10" ht="16.5" customHeight="1" x14ac:dyDescent="0.3">
      <c r="B12" s="35" t="s">
        <v>39</v>
      </c>
      <c r="C12" s="64"/>
      <c r="D12" s="97">
        <v>6.5000000000000002E-2</v>
      </c>
      <c r="E12" s="97">
        <v>0.03</v>
      </c>
      <c r="F12" s="98">
        <v>0.25</v>
      </c>
      <c r="G12" s="98">
        <v>0.2</v>
      </c>
      <c r="H12" s="100"/>
      <c r="I12" s="104">
        <f t="shared" si="0"/>
        <v>9.5000000000000001E-2</v>
      </c>
      <c r="J12" s="105">
        <f>IF(C12/Input!$C$14+F12+G12=0,"",C12/Input!$C$14+F12+G12)</f>
        <v>0.45</v>
      </c>
    </row>
    <row r="13" spans="2:10" ht="16.5" customHeight="1" x14ac:dyDescent="0.3">
      <c r="B13" s="35" t="s">
        <v>40</v>
      </c>
      <c r="C13" s="64"/>
      <c r="D13" s="97">
        <v>6.5000000000000002E-2</v>
      </c>
      <c r="E13" s="97">
        <v>0.03</v>
      </c>
      <c r="F13" s="98">
        <v>0.25</v>
      </c>
      <c r="G13" s="98">
        <v>0.2</v>
      </c>
      <c r="H13" s="101">
        <v>0.15</v>
      </c>
      <c r="I13" s="104">
        <f t="shared" si="0"/>
        <v>0.245</v>
      </c>
      <c r="J13" s="105">
        <f>IF(C13/Input!$C$14+F13+G13=0,"",C13/Input!$C$14+F13+G13)</f>
        <v>0.45</v>
      </c>
    </row>
    <row r="14" spans="2:10" ht="16.5" customHeight="1" x14ac:dyDescent="0.3">
      <c r="B14" s="35" t="s">
        <v>41</v>
      </c>
      <c r="C14" s="64"/>
      <c r="D14" s="97">
        <v>6.5000000000000002E-2</v>
      </c>
      <c r="E14" s="97">
        <v>0.03</v>
      </c>
      <c r="F14" s="98">
        <v>0.25</v>
      </c>
      <c r="G14" s="98">
        <v>0.2</v>
      </c>
      <c r="H14" s="101">
        <v>0.12</v>
      </c>
      <c r="I14" s="104">
        <f t="shared" si="0"/>
        <v>0.215</v>
      </c>
      <c r="J14" s="105">
        <f>IF(C14/Input!$C$14+F14+G14=0,"",C14/Input!$C$14+F14+G14)</f>
        <v>0.45</v>
      </c>
    </row>
    <row r="15" spans="2:10" ht="16.5" customHeight="1" x14ac:dyDescent="0.3">
      <c r="B15" s="35" t="s">
        <v>44</v>
      </c>
      <c r="C15" s="64">
        <v>4.95</v>
      </c>
      <c r="D15" s="97">
        <v>0.129</v>
      </c>
      <c r="E15" s="97">
        <v>2.9000000000000001E-2</v>
      </c>
      <c r="F15" s="98">
        <v>0.3</v>
      </c>
      <c r="G15" s="35"/>
      <c r="H15" s="102"/>
      <c r="I15" s="104">
        <f t="shared" si="0"/>
        <v>0.158</v>
      </c>
      <c r="J15" s="105">
        <f>IF(C15/Input!$C$14+F15+G15=0,"",C15/Input!$C$14+F15+G15)</f>
        <v>0.34949999999999998</v>
      </c>
    </row>
    <row r="16" spans="2:10" ht="16.5" customHeight="1" x14ac:dyDescent="0.3">
      <c r="B16" s="35" t="s">
        <v>43</v>
      </c>
      <c r="C16" s="64">
        <v>21.95</v>
      </c>
      <c r="D16" s="97">
        <v>0.12</v>
      </c>
      <c r="E16" s="97">
        <v>2.9000000000000001E-2</v>
      </c>
      <c r="F16" s="98">
        <v>0.3</v>
      </c>
      <c r="G16" s="35"/>
      <c r="H16" s="102"/>
      <c r="I16" s="104">
        <f t="shared" si="0"/>
        <v>0.14899999999999999</v>
      </c>
      <c r="J16" s="105">
        <f>IF(C16/Input!$C$14+F16+G16=0,"",C16/Input!$C$14+F16+G16)</f>
        <v>0.51949999999999996</v>
      </c>
    </row>
    <row r="17" spans="2:10" ht="16.5" customHeight="1" x14ac:dyDescent="0.3">
      <c r="B17" s="35" t="s">
        <v>45</v>
      </c>
      <c r="C17" s="64">
        <v>59.95</v>
      </c>
      <c r="D17" s="97">
        <v>0.115</v>
      </c>
      <c r="E17" s="97">
        <v>2.9000000000000001E-2</v>
      </c>
      <c r="F17" s="98">
        <v>0.3</v>
      </c>
      <c r="G17" s="35"/>
      <c r="H17" s="102"/>
      <c r="I17" s="104">
        <f t="shared" si="0"/>
        <v>0.14400000000000002</v>
      </c>
      <c r="J17" s="105">
        <f>IF(C17/Input!$C$14+F17+G17=0,"",C17/Input!$C$14+F17+G17)</f>
        <v>0.89949999999999997</v>
      </c>
    </row>
    <row r="18" spans="2:10" ht="16.5" customHeight="1" x14ac:dyDescent="0.3">
      <c r="B18" s="35" t="s">
        <v>46</v>
      </c>
      <c r="C18" s="64"/>
      <c r="D18" s="97">
        <v>0.15</v>
      </c>
      <c r="E18" s="97"/>
      <c r="F18" s="98"/>
      <c r="G18" s="35">
        <v>0.99</v>
      </c>
      <c r="H18" s="102"/>
      <c r="I18" s="104">
        <f t="shared" si="0"/>
        <v>0.15</v>
      </c>
      <c r="J18" s="105">
        <f>IF(C18/Input!$C$14+F18+G18=0,"",C18/Input!$C$14+F18+G18)</f>
        <v>0.99</v>
      </c>
    </row>
    <row r="19" spans="2:10" ht="16.5" customHeight="1" x14ac:dyDescent="0.3">
      <c r="B19" s="35" t="s">
        <v>47</v>
      </c>
      <c r="C19" s="64">
        <v>39.99</v>
      </c>
      <c r="D19" s="97">
        <v>0.15</v>
      </c>
      <c r="E19" s="97"/>
      <c r="F19" s="98"/>
      <c r="G19" s="35"/>
      <c r="H19" s="102"/>
      <c r="I19" s="104">
        <f t="shared" si="0"/>
        <v>0.15</v>
      </c>
      <c r="J19" s="105">
        <f>IF(C19/Input!$C$14+F19+G19=0,"",C19/Input!$C$14+F19+G19)</f>
        <v>0.39990000000000003</v>
      </c>
    </row>
    <row r="20" spans="2:10" ht="16.5" customHeight="1" x14ac:dyDescent="0.3">
      <c r="B20" s="35" t="s">
        <v>137</v>
      </c>
      <c r="C20" s="64">
        <v>0</v>
      </c>
      <c r="D20" s="97">
        <v>0.15</v>
      </c>
      <c r="E20" s="97">
        <v>0</v>
      </c>
      <c r="F20" s="98">
        <v>1.2</v>
      </c>
      <c r="G20" s="35">
        <v>0</v>
      </c>
      <c r="H20" s="102">
        <v>0</v>
      </c>
      <c r="I20" s="104">
        <f t="shared" si="0"/>
        <v>0.15</v>
      </c>
      <c r="J20" s="105">
        <f>IF(C20/Input!$C$14+F20+G20=0,"",C20/Input!$C$14+F20+G20)</f>
        <v>1.2</v>
      </c>
    </row>
    <row r="21" spans="2:10" ht="16.5" customHeight="1" x14ac:dyDescent="0.3">
      <c r="B21" s="35"/>
      <c r="C21" s="64"/>
      <c r="D21" s="64"/>
      <c r="E21" s="97"/>
      <c r="F21" s="98"/>
      <c r="G21" s="35"/>
      <c r="H21" s="102"/>
      <c r="I21" s="104" t="str">
        <f t="shared" si="0"/>
        <v/>
      </c>
      <c r="J21" s="105" t="str">
        <f>IF(C21/Input!$C$14+F21+G21=0,"",C21/Input!$C$14+F21+G21)</f>
        <v/>
      </c>
    </row>
    <row r="22" spans="2:10" ht="16.5" customHeight="1" x14ac:dyDescent="0.3">
      <c r="B22" s="35"/>
      <c r="C22" s="64"/>
      <c r="D22" s="64"/>
      <c r="E22" s="97"/>
      <c r="F22" s="98"/>
      <c r="G22" s="35"/>
      <c r="H22" s="102"/>
      <c r="I22" s="104" t="str">
        <f t="shared" si="0"/>
        <v/>
      </c>
      <c r="J22" s="105" t="str">
        <f>IF(C22/Input!$C$14+F22+G22=0,"",C22/Input!$C$14+F22+G22)</f>
        <v/>
      </c>
    </row>
    <row r="23" spans="2:10" ht="16.5" customHeight="1" x14ac:dyDescent="0.3">
      <c r="B23" s="35"/>
      <c r="C23" s="64"/>
      <c r="D23" s="64"/>
      <c r="E23" s="97"/>
      <c r="F23" s="98"/>
      <c r="G23" s="35"/>
      <c r="H23" s="102"/>
      <c r="I23" s="104" t="str">
        <f t="shared" si="0"/>
        <v/>
      </c>
      <c r="J23" s="105" t="str">
        <f>IF(C23/Input!$C$14+F23+G23=0,"",C23/Input!$C$14+F23+G23)</f>
        <v/>
      </c>
    </row>
    <row r="24" spans="2:10" ht="16.5" customHeight="1" x14ac:dyDescent="0.3">
      <c r="B24" s="35"/>
      <c r="C24" s="64"/>
      <c r="D24" s="64"/>
      <c r="E24" s="97"/>
      <c r="F24" s="98"/>
      <c r="G24" s="35"/>
      <c r="H24" s="102"/>
      <c r="I24" s="104" t="str">
        <f t="shared" si="0"/>
        <v/>
      </c>
      <c r="J24" s="105" t="str">
        <f>IF(C24/Input!$C$14+F24+G24=0,"",C24/Input!$C$14+F24+G24)</f>
        <v/>
      </c>
    </row>
    <row r="25" spans="2:10" ht="16.5" customHeight="1" x14ac:dyDescent="0.3">
      <c r="B25" s="35"/>
      <c r="C25" s="64"/>
      <c r="D25" s="64"/>
      <c r="E25" s="97"/>
      <c r="F25" s="98"/>
      <c r="G25" s="35"/>
      <c r="H25" s="102"/>
      <c r="I25" s="104" t="str">
        <f t="shared" si="0"/>
        <v/>
      </c>
      <c r="J25" s="105" t="str">
        <f>IF(C25/Input!$C$14+F25+G25=0,"",C25/Input!$C$14+F25+G25)</f>
        <v/>
      </c>
    </row>
    <row r="26" spans="2:10" ht="16.5" customHeight="1" x14ac:dyDescent="0.3">
      <c r="B26" s="35"/>
      <c r="C26" s="64"/>
      <c r="D26" s="64"/>
      <c r="E26" s="97"/>
      <c r="F26" s="98"/>
      <c r="G26" s="35"/>
      <c r="H26" s="102"/>
      <c r="I26" s="104" t="str">
        <f t="shared" si="0"/>
        <v/>
      </c>
      <c r="J26" s="105" t="str">
        <f>IF(C26/Input!$C$14+F26+G26=0,"",C26/Input!$C$14+F26+G26)</f>
        <v/>
      </c>
    </row>
    <row r="27" spans="2:10" ht="16.5" customHeight="1" x14ac:dyDescent="0.3">
      <c r="B27" s="35"/>
      <c r="C27" s="64"/>
      <c r="D27" s="64"/>
      <c r="E27" s="97"/>
      <c r="F27" s="98"/>
      <c r="G27" s="35"/>
      <c r="H27" s="102"/>
      <c r="I27" s="104" t="str">
        <f t="shared" si="0"/>
        <v/>
      </c>
      <c r="J27" s="105" t="str">
        <f>IF(C27/Input!$C$14+F27+G27=0,"",C27/Input!$C$14+F27+G27)</f>
        <v/>
      </c>
    </row>
    <row r="28" spans="2:10" x14ac:dyDescent="0.3">
      <c r="B28" s="42"/>
      <c r="C28" s="42"/>
      <c r="D28" s="42"/>
      <c r="E28" s="42"/>
      <c r="F28" s="43"/>
      <c r="G28" s="42"/>
      <c r="H28" s="42"/>
      <c r="I28" s="42"/>
      <c r="J28" s="42"/>
    </row>
    <row r="29" spans="2:10" x14ac:dyDescent="0.3">
      <c r="B29" s="42"/>
      <c r="C29" s="42"/>
      <c r="D29" s="42"/>
      <c r="E29" s="42"/>
      <c r="F29" s="43"/>
      <c r="G29" s="42"/>
      <c r="H29" s="42"/>
      <c r="I29" s="42"/>
      <c r="J29" s="42"/>
    </row>
    <row r="30" spans="2:10" x14ac:dyDescent="0.3">
      <c r="B30" s="41"/>
      <c r="C30" s="41"/>
      <c r="D30" s="41"/>
      <c r="E30" s="41"/>
      <c r="G30" s="41"/>
      <c r="H30" s="41"/>
      <c r="I30" s="41"/>
      <c r="J30" s="41"/>
    </row>
    <row r="31" spans="2:10" x14ac:dyDescent="0.3">
      <c r="B31" s="41"/>
      <c r="C31" s="41"/>
      <c r="D31" s="41"/>
      <c r="E31" s="41"/>
      <c r="G31" s="41"/>
      <c r="H31" s="41"/>
      <c r="I31" s="41"/>
      <c r="J31" s="41"/>
    </row>
    <row r="32" spans="2:10" x14ac:dyDescent="0.3">
      <c r="B32" s="41"/>
      <c r="C32" s="41"/>
      <c r="D32" s="41"/>
      <c r="E32" s="41"/>
      <c r="G32" s="41"/>
      <c r="H32" s="41"/>
      <c r="I32" s="41"/>
      <c r="J32" s="41"/>
    </row>
    <row r="33" spans="2:10" x14ac:dyDescent="0.3">
      <c r="B33" s="41"/>
      <c r="C33" s="41"/>
      <c r="D33" s="41"/>
      <c r="E33" s="41"/>
      <c r="G33" s="41"/>
      <c r="H33" s="41"/>
      <c r="I33" s="41"/>
      <c r="J33" s="41"/>
    </row>
    <row r="34" spans="2:10" x14ac:dyDescent="0.3">
      <c r="B34" s="41"/>
      <c r="C34" s="41"/>
      <c r="D34" s="41"/>
      <c r="E34" s="41"/>
      <c r="G34" s="41"/>
      <c r="H34" s="41"/>
      <c r="I34" s="41"/>
      <c r="J34" s="41"/>
    </row>
    <row r="35" spans="2:10" x14ac:dyDescent="0.3">
      <c r="B35" s="41"/>
      <c r="C35" s="41"/>
      <c r="D35" s="41"/>
      <c r="E35" s="41"/>
      <c r="G35" s="41"/>
      <c r="H35" s="41"/>
      <c r="I35" s="41"/>
      <c r="J35" s="41"/>
    </row>
    <row r="36" spans="2:10" x14ac:dyDescent="0.3">
      <c r="B36" s="41"/>
      <c r="C36" s="41"/>
      <c r="D36" s="41"/>
      <c r="E36" s="41"/>
      <c r="G36" s="41"/>
      <c r="H36" s="41"/>
      <c r="I36" s="41"/>
      <c r="J36" s="41"/>
    </row>
    <row r="37" spans="2:10" x14ac:dyDescent="0.3">
      <c r="B37" s="41"/>
      <c r="C37" s="41"/>
      <c r="D37" s="41"/>
      <c r="E37" s="41"/>
      <c r="G37" s="41"/>
      <c r="H37" s="41"/>
      <c r="I37" s="41"/>
      <c r="J37" s="41"/>
    </row>
    <row r="38" spans="2:10" x14ac:dyDescent="0.3">
      <c r="B38" s="41"/>
      <c r="C38" s="41"/>
      <c r="D38" s="41"/>
      <c r="E38" s="41"/>
      <c r="G38" s="41"/>
      <c r="H38" s="41"/>
      <c r="I38" s="41"/>
      <c r="J38" s="41"/>
    </row>
    <row r="39" spans="2:10" x14ac:dyDescent="0.3">
      <c r="B39" s="41"/>
      <c r="C39" s="41"/>
      <c r="D39" s="41"/>
      <c r="E39" s="41"/>
      <c r="G39" s="41"/>
      <c r="H39" s="41"/>
      <c r="I39" s="41"/>
      <c r="J39" s="41"/>
    </row>
    <row r="40" spans="2:10" x14ac:dyDescent="0.3">
      <c r="B40" s="41"/>
      <c r="C40" s="41"/>
      <c r="D40" s="41"/>
      <c r="E40" s="41"/>
      <c r="G40" s="41"/>
      <c r="H40" s="41"/>
      <c r="I40" s="41"/>
      <c r="J40" s="41"/>
    </row>
    <row r="41" spans="2:10" x14ac:dyDescent="0.3">
      <c r="B41" s="41"/>
      <c r="C41" s="41"/>
      <c r="D41" s="41"/>
      <c r="E41" s="41"/>
      <c r="G41" s="41"/>
      <c r="H41" s="41"/>
      <c r="I41" s="41"/>
      <c r="J41" s="41"/>
    </row>
    <row r="42" spans="2:10" x14ac:dyDescent="0.3">
      <c r="B42" s="41"/>
      <c r="C42" s="41"/>
      <c r="D42" s="41"/>
      <c r="E42" s="41"/>
      <c r="G42" s="41"/>
      <c r="H42" s="41"/>
      <c r="I42" s="41"/>
      <c r="J42" s="41"/>
    </row>
    <row r="43" spans="2:10" x14ac:dyDescent="0.3">
      <c r="B43" s="41"/>
      <c r="C43" s="41"/>
      <c r="D43" s="41"/>
      <c r="E43" s="41"/>
      <c r="G43" s="41"/>
      <c r="H43" s="41"/>
      <c r="I43" s="41"/>
      <c r="J43" s="41"/>
    </row>
    <row r="44" spans="2:10" x14ac:dyDescent="0.3">
      <c r="B44" s="41"/>
      <c r="C44" s="41"/>
      <c r="D44" s="41"/>
      <c r="E44" s="41"/>
      <c r="G44" s="41"/>
      <c r="H44" s="41"/>
      <c r="I44" s="41"/>
      <c r="J44" s="41"/>
    </row>
    <row r="45" spans="2:10" x14ac:dyDescent="0.3">
      <c r="B45" s="41"/>
      <c r="C45" s="41"/>
      <c r="D45" s="41"/>
      <c r="E45" s="41"/>
      <c r="G45" s="41"/>
      <c r="H45" s="41"/>
      <c r="I45" s="41"/>
      <c r="J45" s="41"/>
    </row>
    <row r="46" spans="2:10" x14ac:dyDescent="0.3">
      <c r="B46" s="41"/>
      <c r="C46" s="41"/>
      <c r="D46" s="41"/>
      <c r="E46" s="41"/>
      <c r="G46" s="41"/>
      <c r="H46" s="41"/>
      <c r="I46" s="41"/>
      <c r="J46" s="41"/>
    </row>
    <row r="47" spans="2:10" x14ac:dyDescent="0.3">
      <c r="B47" s="41"/>
      <c r="C47" s="41"/>
      <c r="D47" s="41"/>
      <c r="E47" s="41"/>
      <c r="G47" s="41"/>
      <c r="H47" s="41"/>
      <c r="I47" s="41"/>
      <c r="J47" s="41"/>
    </row>
    <row r="48" spans="2:10" x14ac:dyDescent="0.3">
      <c r="B48" s="41"/>
      <c r="C48" s="41"/>
      <c r="D48" s="41"/>
      <c r="E48" s="41"/>
      <c r="G48" s="41"/>
      <c r="H48" s="41"/>
      <c r="I48" s="41"/>
      <c r="J48" s="41"/>
    </row>
    <row r="49" spans="2:10" x14ac:dyDescent="0.3">
      <c r="B49" s="41"/>
      <c r="C49" s="41"/>
      <c r="D49" s="41"/>
      <c r="E49" s="41"/>
      <c r="G49" s="41"/>
      <c r="H49" s="41"/>
      <c r="I49" s="41"/>
      <c r="J49" s="41"/>
    </row>
    <row r="50" spans="2:10" x14ac:dyDescent="0.3">
      <c r="B50" s="41"/>
      <c r="C50" s="41"/>
      <c r="D50" s="41"/>
      <c r="E50" s="41"/>
      <c r="G50" s="41"/>
      <c r="H50" s="41"/>
      <c r="I50" s="41"/>
      <c r="J50" s="41"/>
    </row>
    <row r="51" spans="2:10" x14ac:dyDescent="0.3">
      <c r="B51" s="41"/>
      <c r="C51" s="41"/>
      <c r="D51" s="41"/>
      <c r="E51" s="41"/>
      <c r="G51" s="41"/>
      <c r="H51" s="41"/>
      <c r="I51" s="41"/>
      <c r="J51" s="41"/>
    </row>
    <row r="52" spans="2:10" x14ac:dyDescent="0.3">
      <c r="B52" s="41"/>
      <c r="C52" s="41"/>
      <c r="D52" s="41"/>
      <c r="E52" s="41"/>
      <c r="G52" s="41"/>
      <c r="H52" s="41"/>
      <c r="I52" s="41"/>
      <c r="J52" s="41"/>
    </row>
    <row r="53" spans="2:10" x14ac:dyDescent="0.3">
      <c r="B53" s="41"/>
      <c r="C53" s="41"/>
      <c r="D53" s="41"/>
      <c r="E53" s="41"/>
      <c r="G53" s="41"/>
      <c r="H53" s="41"/>
      <c r="I53" s="41"/>
      <c r="J53" s="41"/>
    </row>
    <row r="54" spans="2:10" x14ac:dyDescent="0.3">
      <c r="B54" s="41"/>
      <c r="C54" s="41"/>
      <c r="D54" s="41"/>
      <c r="E54" s="41"/>
      <c r="G54" s="41"/>
      <c r="H54" s="41"/>
      <c r="I54" s="41"/>
      <c r="J54" s="41"/>
    </row>
    <row r="55" spans="2:10" x14ac:dyDescent="0.3">
      <c r="B55" s="41"/>
      <c r="C55" s="41"/>
      <c r="D55" s="41"/>
      <c r="E55" s="41"/>
      <c r="G55" s="41"/>
      <c r="H55" s="41"/>
      <c r="I55" s="41"/>
      <c r="J55" s="41"/>
    </row>
    <row r="56" spans="2:10" x14ac:dyDescent="0.3">
      <c r="B56" s="41"/>
      <c r="C56" s="41"/>
      <c r="D56" s="41"/>
      <c r="E56" s="41"/>
      <c r="G56" s="41"/>
      <c r="H56" s="41"/>
      <c r="I56" s="41"/>
      <c r="J56" s="41"/>
    </row>
    <row r="57" spans="2:10" x14ac:dyDescent="0.3">
      <c r="B57" s="41"/>
      <c r="C57" s="41"/>
      <c r="D57" s="41"/>
      <c r="E57" s="41"/>
      <c r="G57" s="41"/>
      <c r="H57" s="41"/>
      <c r="I57" s="41"/>
      <c r="J57" s="41"/>
    </row>
    <row r="58" spans="2:10" x14ac:dyDescent="0.3">
      <c r="B58" s="41"/>
      <c r="C58" s="41"/>
      <c r="D58" s="41"/>
      <c r="E58" s="41"/>
      <c r="G58" s="41"/>
      <c r="H58" s="41"/>
      <c r="I58" s="41"/>
      <c r="J58" s="41"/>
    </row>
    <row r="59" spans="2:10" x14ac:dyDescent="0.3">
      <c r="B59" s="41"/>
      <c r="C59" s="41"/>
      <c r="D59" s="41"/>
      <c r="E59" s="41"/>
      <c r="G59" s="41"/>
      <c r="H59" s="41"/>
      <c r="I59" s="41"/>
      <c r="J59" s="41"/>
    </row>
    <row r="60" spans="2:10" x14ac:dyDescent="0.3">
      <c r="B60" s="41"/>
      <c r="C60" s="41"/>
      <c r="D60" s="41"/>
      <c r="E60" s="41"/>
      <c r="G60" s="41"/>
      <c r="H60" s="41"/>
      <c r="I60" s="41"/>
      <c r="J60" s="41"/>
    </row>
    <row r="61" spans="2:10" x14ac:dyDescent="0.3">
      <c r="B61" s="41"/>
      <c r="C61" s="41"/>
      <c r="D61" s="41"/>
      <c r="E61" s="41"/>
      <c r="G61" s="41"/>
      <c r="H61" s="41"/>
      <c r="I61" s="41"/>
      <c r="J61" s="41"/>
    </row>
    <row r="62" spans="2:10" x14ac:dyDescent="0.3">
      <c r="B62" s="41"/>
      <c r="C62" s="41"/>
      <c r="D62" s="41"/>
      <c r="E62" s="41"/>
      <c r="G62" s="41"/>
      <c r="H62" s="41"/>
      <c r="I62" s="41"/>
      <c r="J62" s="41"/>
    </row>
    <row r="63" spans="2:10" x14ac:dyDescent="0.3">
      <c r="B63" s="41"/>
      <c r="C63" s="41"/>
      <c r="D63" s="41"/>
      <c r="E63" s="41"/>
      <c r="G63" s="41"/>
      <c r="H63" s="41"/>
      <c r="I63" s="41"/>
      <c r="J63" s="41"/>
    </row>
    <row r="64" spans="2:10" x14ac:dyDescent="0.3">
      <c r="B64" s="41"/>
      <c r="C64" s="41"/>
      <c r="D64" s="41"/>
      <c r="E64" s="41"/>
      <c r="G64" s="41"/>
      <c r="H64" s="41"/>
      <c r="I64" s="41"/>
      <c r="J64" s="41"/>
    </row>
    <row r="65" spans="2:10" x14ac:dyDescent="0.3">
      <c r="B65" s="41"/>
      <c r="C65" s="41"/>
      <c r="D65" s="41"/>
      <c r="E65" s="41"/>
      <c r="G65" s="41"/>
      <c r="H65" s="41"/>
      <c r="I65" s="41"/>
      <c r="J65" s="41"/>
    </row>
    <row r="66" spans="2:10" x14ac:dyDescent="0.3">
      <c r="B66" s="41"/>
      <c r="C66" s="41"/>
      <c r="D66" s="41"/>
      <c r="E66" s="41"/>
      <c r="G66" s="41"/>
      <c r="H66" s="41"/>
      <c r="I66" s="41"/>
      <c r="J66" s="41"/>
    </row>
    <row r="67" spans="2:10" x14ac:dyDescent="0.3">
      <c r="B67" s="41"/>
      <c r="C67" s="41"/>
      <c r="D67" s="41"/>
      <c r="E67" s="41"/>
      <c r="G67" s="41"/>
      <c r="H67" s="41"/>
      <c r="I67" s="41"/>
      <c r="J67" s="41"/>
    </row>
    <row r="68" spans="2:10" x14ac:dyDescent="0.3">
      <c r="B68" s="41"/>
      <c r="C68" s="41"/>
      <c r="D68" s="41"/>
      <c r="E68" s="41"/>
      <c r="G68" s="41"/>
      <c r="H68" s="41"/>
      <c r="I68" s="41"/>
      <c r="J68" s="41"/>
    </row>
    <row r="69" spans="2:10" x14ac:dyDescent="0.3">
      <c r="B69" s="41"/>
      <c r="C69" s="41"/>
      <c r="D69" s="41"/>
      <c r="E69" s="41"/>
      <c r="G69" s="41"/>
      <c r="H69" s="41"/>
      <c r="I69" s="41"/>
      <c r="J69" s="41"/>
    </row>
    <row r="70" spans="2:10" x14ac:dyDescent="0.3">
      <c r="B70" s="41"/>
      <c r="C70" s="41"/>
      <c r="D70" s="41"/>
      <c r="E70" s="41"/>
      <c r="G70" s="41"/>
      <c r="H70" s="41"/>
      <c r="I70" s="41"/>
      <c r="J70" s="41"/>
    </row>
    <row r="71" spans="2:10" x14ac:dyDescent="0.3">
      <c r="B71" s="41"/>
      <c r="C71" s="41"/>
      <c r="D71" s="41"/>
      <c r="E71" s="41"/>
      <c r="G71" s="41"/>
      <c r="H71" s="41"/>
      <c r="I71" s="41"/>
      <c r="J71" s="41"/>
    </row>
  </sheetData>
  <mergeCells count="2">
    <mergeCell ref="E3:J4"/>
    <mergeCell ref="B8:J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Price Calculator</vt:lpstr>
      <vt:lpstr>Input</vt:lpstr>
      <vt:lpstr>Printers</vt:lpstr>
      <vt:lpstr>Materials</vt:lpstr>
      <vt:lpstr>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Clark</dc:creator>
  <cp:lastModifiedBy>Tim Schipper</cp:lastModifiedBy>
  <dcterms:created xsi:type="dcterms:W3CDTF">2022-12-10T15:50:11Z</dcterms:created>
  <dcterms:modified xsi:type="dcterms:W3CDTF">2026-06-21T10:09:18Z</dcterms:modified>
</cp:coreProperties>
</file>